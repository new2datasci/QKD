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 Error Calculation" sheetId="1" state="visible" r:id="rId3"/>
    <sheet name="Sensitivity — e_det vs at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<sst xmlns="http://schemas.openxmlformats.org/spreadsheetml/2006/main" count="128" uniqueCount="127">
  <si>
    <t xml:space="preserve">1-Decoy QKD — Phase Error φ_Z  (Step-by-Step)</t>
  </si>
  <si>
    <t xml:space="preserve">Rusca et al. (2018)  ·  Eq. A20–A23 + Appendix B</t>
  </si>
  <si>
    <t xml:space="preserve">PARAMETER</t>
  </si>
  <si>
    <t xml:space="preserve">VALUE</t>
  </si>
  <si>
    <t xml:space="preserve">── Protocol ──────────────</t>
  </si>
  <si>
    <t xml:space="preserve">μ₁  signal intensity</t>
  </si>
  <si>
    <t xml:space="preserve">μ₂  decoy intensity</t>
  </si>
  <si>
    <t xml:space="preserve">p_μ₁ = p_μ₂</t>
  </si>
  <si>
    <t xml:space="preserve">p_Z</t>
  </si>
  <si>
    <t xml:space="preserve">n_Z  block size</t>
  </si>
  <si>
    <t xml:space="preserve">ε_sec</t>
  </si>
  <si>
    <t xml:space="preserve">ε_cor</t>
  </si>
  <si>
    <t xml:space="preserve">f_EC</t>
  </si>
  <si>
    <t xml:space="preserve">K  (1-decoy)</t>
  </si>
  <si>
    <t xml:space="preserve">── Hardware ─────────────</t>
  </si>
  <si>
    <t xml:space="preserve">η_Bob  detector efficiency</t>
  </si>
  <si>
    <t xml:space="preserve">p_dc  dark count prob/gate</t>
  </si>
  <si>
    <t xml:space="preserve">f_rep  gate rate (MHz)</t>
  </si>
  <si>
    <t xml:space="preserve">dead_time (μs)</t>
  </si>
  <si>
    <t xml:space="preserve">Global attenuation (dB)</t>
  </si>
  <si>
    <t xml:space="preserve">e_det  misalignment  ← vary</t>
  </si>
  <si>
    <t xml:space="preserve">── Derived ──────────────</t>
  </si>
  <si>
    <t xml:space="preserve">p_X = 1 − p_Z</t>
  </si>
  <si>
    <t xml:space="preserve">ε₁ = ε_sec / K</t>
  </si>
  <si>
    <t xml:space="preserve">η_sys = 10^(−att/10)</t>
  </si>
  <si>
    <t xml:space="preserve">Step 2  —  Detection Probabilities  P_det(μ)  [Rusca Eq. B2]</t>
  </si>
  <si>
    <t xml:space="preserve">P_det(μ₁) = 1−exp(−μ₁·η)+p_dc</t>
  </si>
  <si>
    <t xml:space="preserve">P_det(μ₂) = 1−exp(−μ₂·η)+p_dc</t>
  </si>
  <si>
    <t xml:space="preserve">P_det_tot = p_μ₁·Pd1 + p_μ₂·Pd2</t>
  </si>
  <si>
    <t xml:space="preserve">Step 3  —  Count Distribution  [Rusca Eq. B1]</t>
  </si>
  <si>
    <t xml:space="preserve">n_Z,μ₁ = n_Z·p_μ₁·Pd1/Pdt</t>
  </si>
  <si>
    <t xml:space="preserve">n_Z,μ₂ = n_Z·p_μ₂·Pd2/Pdt</t>
  </si>
  <si>
    <t xml:space="preserve">n_X = n_Z·(p_X/p_Z)²  [both choose X]</t>
  </si>
  <si>
    <t xml:space="preserve">n_X,μ₁ = n_X·p_μ₁·Pd1/Pdt</t>
  </si>
  <si>
    <t xml:space="preserve">n_X,μ₂ = n_X·p_μ₂·Pd2/Pdt</t>
  </si>
  <si>
    <t xml:space="preserve">Step 4  —  QBER and Error Counts  [Rusca Eq. B4/B5]</t>
  </si>
  <si>
    <t xml:space="preserve">E₁ = [(1−exp(−μ₁η))·e_det + p_dc/2] / Pd1</t>
  </si>
  <si>
    <t xml:space="preserve">E₂ = [(1−exp(−μ₂η))·e_det + p_dc/2] / Pd2</t>
  </si>
  <si>
    <t xml:space="preserve">m_X,μ₁ = n_X,μ₁ · E₁</t>
  </si>
  <si>
    <t xml:space="preserve">m_X,μ₂ = n_X,μ₂ · E₂</t>
  </si>
  <si>
    <t xml:space="preserve">m_X total</t>
  </si>
  <si>
    <t xml:space="preserve">m_Z,μ₂ = n_Z,μ₂ · E₂</t>
  </si>
  <si>
    <t xml:space="preserve">m_Z total = n_Z,μ₁·E₁ + n_Z,μ₂·E₂</t>
  </si>
  <si>
    <t xml:space="preserve">e_obs (observed QBER on Z)</t>
  </si>
  <si>
    <t xml:space="preserve">Step 5  —  Hoeffding Corrections  δ  [Rusca Eq. A18]</t>
  </si>
  <si>
    <t xml:space="preserve">δ(n_Z) = √(n_Z/2·ln(1/ε₁))</t>
  </si>
  <si>
    <t xml:space="preserve">δ(n_X) = √(n_X/2·ln(1/ε₁))</t>
  </si>
  <si>
    <t xml:space="preserve">δ(m_X) = √(m_X/2·ln(1/ε₁))</t>
  </si>
  <si>
    <t xml:space="preserve">δ(m_Z) = √(m_Z/2·ln(1/ε₁))</t>
  </si>
  <si>
    <t xml:space="preserve">Step 6  —  τ₀ and τ₁</t>
  </si>
  <si>
    <t xml:space="preserve">τ₀ = p_μ₁·exp(−μ₁) + p_μ₂·exp(−μ₂)</t>
  </si>
  <si>
    <t xml:space="preserve">τ₁ = p_μ₁·exp(−μ₁)·μ₁ + p_μ₂·exp(−μ₂)·μ₂</t>
  </si>
  <si>
    <t xml:space="preserve">Step 7  —  v^u_{X,1}  [Rusca Eq. A22]</t>
  </si>
  <si>
    <t xml:space="preserve">m+_X,μ₁ weighted = (exp(μ₁)/p_μ₁)·(mX1+δmX)</t>
  </si>
  <si>
    <t xml:space="preserve">m−_X,μ₂ weighted = (exp(μ₂)/p_μ₂)·(mX2−δmX)</t>
  </si>
  <si>
    <t xml:space="preserve">v^u_{X,1} = MAX(τ₁/(μ₁−μ₂)·(m+−m−), 0)</t>
  </si>
  <si>
    <t xml:space="preserve">Step 8  —  s^l_{Z,1} and s^l_{X,1}  [Rusca Eq. A17]</t>
  </si>
  <si>
    <t xml:space="preserve">s^u_{Z,0} = 2·[τ₀·(exp(μ₂)/p_μ₂)·(mZ2+δmZ) + δnZ]</t>
  </si>
  <si>
    <t xml:space="preserve">s^l_{Z,1}  [Rusca Eq. A17]</t>
  </si>
  <si>
    <t xml:space="preserve">s^u_{Z,0} (X basis)</t>
  </si>
  <si>
    <t xml:space="preserve">s^l_{X,1}  [same formula, X-basis]</t>
  </si>
  <si>
    <t xml:space="preserve">Step 9  —  Phase Error φ^u_Z  [Rusca Eq. A20–A23]</t>
  </si>
  <si>
    <t xml:space="preserve">φ_raw = v^u_{X,1} / s^l_{X,1}  [Rusca Eq. A20]</t>
  </si>
  <si>
    <t xml:space="preserve">γ  finite-key correction  [Rusca Eq. A21]</t>
  </si>
  <si>
    <t xml:space="preserve">φ^u_Z = min(φ_raw + γ, 0.5)  [Rusca Eq. A23]</t>
  </si>
  <si>
    <t xml:space="preserve">h(φ^u_Z)  binary entropy</t>
  </si>
  <si>
    <t xml:space="preserve">1 − h(φ^u_Z)</t>
  </si>
  <si>
    <t xml:space="preserve">Step 9b  —  Bracket Decomposition of Eq. A17:  Why Decoy Dominates</t>
  </si>
  <si>
    <t xml:space="preserve">Eq. A17 bracket = Term 1 (decoy) − Term 2 (signal) − Term 3 (vacuum)</t>
  </si>
  <si>
    <t xml:space="preserve">n_{Z,μ₂}  raw decoy count</t>
  </si>
  <si>
    <t xml:space="preserve">(17% of n_Z — fewer pulses but cleaner)</t>
  </si>
  <si>
    <t xml:space="preserve">n⁻_{Z,μ₂} = n_{Z,μ₂} − δ(n_Z)  [Hoeffding lower correction]</t>
  </si>
  <si>
    <t xml:space="preserve">e^μ₂ / p_μ₂  [weight factor for decoy]</t>
  </si>
  <si>
    <t xml:space="preserve">(= exp(0.1)/0.5 ≈ 2.21)</t>
  </si>
  <si>
    <t xml:space="preserve">n_{Z,μ₁}  raw signal count</t>
  </si>
  <si>
    <t xml:space="preserve">(83% of n_Z — more pulses but multi-photon contamination)</t>
  </si>
  <si>
    <t xml:space="preserve">(μ₂/μ₁)²  [suppression factor on signal in Eq. A17]</t>
  </si>
  <si>
    <t xml:space="preserve">← signal suppressed to only 4% of its weighted value</t>
  </si>
  <si>
    <t xml:space="preserve">Term 1  (decoy, positive):  (e^μ₂/p_μ₂) · n⁻_{Z,μ₂}</t>
  </si>
  <si>
    <t xml:space="preserve">← largest term: decoy weighted count</t>
  </si>
  <si>
    <t xml:space="preserve">Term 2  (signal, negative):  −(μ₂/μ₁)² · (e^μ₁/p_μ₁) · n⁺_{Z,μ₁}</t>
  </si>
  <si>
    <t xml:space="preserve">← signal suppressed by (μ₂/μ₁)²</t>
  </si>
  <si>
    <t xml:space="preserve">Term 3  (vacuum penalty, negative):  −(μ₁²−μ₂²)/μ₁² · s^u_{Z,0}/τ₀</t>
  </si>
  <si>
    <t xml:space="preserve">← cost of loose s^u_{Z,0}</t>
  </si>
  <si>
    <t xml:space="preserve">Net bracket  =  Term 1 + Term 2 + Term 3</t>
  </si>
  <si>
    <t xml:space="preserve">Ratio  |Term 1| / |Term 2|  (how much decoy exceeds signal contribution)</t>
  </si>
  <si>
    <t xml:space="preserve">→  Despite signal having MORE raw detections (83% vs 17%), the (μ₂/μ₁)²=0.04</t>
  </si>
  <si>
    <t xml:space="preserve">   suppression means decoy term dominates the bracket by ~3x.</t>
  </si>
  <si>
    <t xml:space="preserve">Step 10  —  Secret Key Length ℓ and SKR  [Rusca Eq. A25, B7, B8]</t>
  </si>
  <si>
    <t xml:space="preserve">λ_EC = f_EC · h(e_obs) · n_Z</t>
  </si>
  <si>
    <t xml:space="preserve">Overhead = 6·log₂(K/ε_sec) + log₂(2/ε_cor)</t>
  </si>
  <si>
    <t xml:space="preserve">s^l_{Z,0}  [Rusca Eq. A19]</t>
  </si>
  <si>
    <t xml:space="preserve">ℓ = s^l_{Z,0} + s^l_{Z,1}·(1−h(φ)) − λ_EC − overhead</t>
  </si>
  <si>
    <t xml:space="preserve">c_DT  dead-time correction  [Rusca Eq. B3]</t>
  </si>
  <si>
    <t xml:space="preserve">N_tot = n_Z / (c_DT · p_Z² · P_det_tot)  [Rusca Eq. B7]</t>
  </si>
  <si>
    <t xml:space="preserve">SKR (bits/s) = ℓ · f_rep / N_tot  [Rusca Eq. B8]</t>
  </si>
  <si>
    <t xml:space="preserve">SKR (bits/s) vs e_det and Global Attenuation  [n_Z=1e7, 80 MHz, 10μs dead time]</t>
  </si>
  <si>
    <t xml:space="preserve">Green ≥1000 b/s  |  Amber 100–999 b/s  |  Light red 1–99 b/s  |  Red = 0 (no key)</t>
  </si>
  <si>
    <t xml:space="preserve">Att (dB) \ e_det</t>
  </si>
  <si>
    <t xml:space="preserve">1%</t>
  </si>
  <si>
    <t xml:space="preserve">2%</t>
  </si>
  <si>
    <t xml:space="preserve">3%</t>
  </si>
  <si>
    <t xml:space="preserve">4%</t>
  </si>
  <si>
    <t xml:space="preserve">5%</t>
  </si>
  <si>
    <t xml:space="preserve">7%</t>
  </si>
  <si>
    <t xml:space="preserve">10 dB</t>
  </si>
  <si>
    <t xml:space="preserve">15 dB</t>
  </si>
  <si>
    <t xml:space="preserve">20 dB</t>
  </si>
  <si>
    <t xml:space="preserve">25 dB</t>
  </si>
  <si>
    <t xml:space="preserve">30 dB</t>
  </si>
  <si>
    <t xml:space="preserve">35 dB</t>
  </si>
  <si>
    <t xml:space="preserve">40 dB</t>
  </si>
  <si>
    <t xml:space="preserve">Distance ↔ Attenuation Conversion</t>
  </si>
  <si>
    <t xml:space="preserve">d (km) = [att_global (dB) − att_detector (dB)] / α    where  att_detector = −10·log₁₀(η_Bob)</t>
  </si>
  <si>
    <t xml:space="preserve">Parameter</t>
  </si>
  <si>
    <t xml:space="preserve">Value</t>
  </si>
  <si>
    <t xml:space="preserve">α  fibre loss (dB/km)</t>
  </si>
  <si>
    <t xml:space="preserve">att_detector = −10·log₁₀(η_Bob)  (dB)</t>
  </si>
  <si>
    <t xml:space="preserve">att_global (dB)</t>
  </si>
  <si>
    <t xml:space="preserve">att_channel (dB)</t>
  </si>
  <si>
    <t xml:space="preserve">Distance (km)</t>
  </si>
  <si>
    <t xml:space="preserve">← BB84 datasheet operating point</t>
  </si>
  <si>
    <t xml:space="preserve">← ≈ 2-decoy max range</t>
  </si>
  <si>
    <t xml:space="preserve">← 1-decoy max range</t>
  </si>
  <si>
    <t xml:space="preserve">Formula:  d = (att_global − att_detector) / α</t>
  </si>
  <si>
    <t xml:space="preserve">Example:  d = (47.0 − 8.24) / 0.2 = 193.8 km  (1-decoy cutoff at n_Z=10⁷, e_det=1%)</t>
  </si>
  <si>
    <t xml:space="preserve">Note: att_detector = 8.24 dB for η_Bob=0.15. Better detector → longer reach at same budget.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</si>
</sst>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"/>
    <numFmt numFmtId="166" formatCode="0.00E+00"/>
    <numFmt numFmtId="167" formatCode="0"/>
    <numFmt numFmtId="168" formatCode="0.0"/>
    <numFmt numFmtId="169" formatCode="0.0%"/>
    <numFmt numFmtId="170" formatCode="0.00%"/>
    <numFmt numFmtId="171" formatCode="0.000000"/>
    <numFmt numFmtId="172" formatCode="0.000"/>
    <numFmt numFmtId="173" formatCode="0.0000"/>
    <numFmt numFmtId="174" formatCode="@"/>
    <numFmt numFmtId="175" formatCode="0.00\x"/>
    <numFmt numFmtId="176" formatCode="#,##0.0"/>
    <numFmt numFmtId="177" formatCode="#,##0"/>
    <numFmt numFmtId="178" formatCode="0.00&quot; dB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9"/>
      <color rgb="FFC0392B"/>
      <name val="Arial"/>
      <family val="0"/>
      <charset val="1"/>
    </font>
    <font>
      <i val="true"/>
      <sz val="9"/>
      <color rgb="FF27AE60"/>
      <name val="Arial"/>
      <family val="0"/>
      <charset val="1"/>
    </font>
    <font>
      <i val="true"/>
      <sz val="9"/>
      <color rgb="FFD4A017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D4A017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sz val="10"/>
      <color rgb="FF88888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D5E8D4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5E8D4"/>
      </patternFill>
    </fill>
    <fill>
      <patternFill patternType="solid">
        <fgColor rgb="FFFFCCCC"/>
        <bgColor rgb="FFFFF2CC"/>
      </patternFill>
    </fill>
    <fill>
      <patternFill patternType="solid">
        <fgColor rgb="FFD5E8D4"/>
        <bgColor rgb="FFE2EFDA"/>
      </patternFill>
    </fill>
    <fill>
      <patternFill patternType="solid">
        <fgColor rgb="FFC00000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/>
      <right/>
      <top style="thin">
        <color rgb="FFAAAAAA"/>
      </top>
      <bottom style="thin">
        <color rgb="FFAAAAAA"/>
      </bottom>
      <diagonal/>
    </border>
    <border diagonalUp="false" diagonalDown="false"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70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6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D5E8D4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D4A017"/>
      <rgbColor rgb="FFFF6600"/>
      <rgbColor rgb="FF555555"/>
      <rgbColor rgb="FFAAAAAA"/>
      <rgbColor rgb="FF1F3864"/>
      <rgbColor rgb="FF27AE60"/>
      <rgbColor rgb="FF003300"/>
      <rgbColor rgb="FF333300"/>
      <rgbColor rgb="FFC0392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3"/>
    <col collapsed="false" customWidth="true" hidden="false" outlineLevel="0" max="5" min="5" style="1" width="18"/>
    <col collapsed="false" customWidth="true" hidden="false" outlineLevel="0" max="6" min="6" style="1" width="3"/>
  </cols>
  <sheetData>
    <row r="1" customFormat="false" ht="30" hidden="false" customHeight="true" outlineLevel="0" collapsed="false">
      <c r="B1" s="2" t="s">
        <v>0</v>
      </c>
      <c r="C1" s="2"/>
      <c r="D1" s="2"/>
      <c r="E1" s="2"/>
    </row>
    <row r="2" customFormat="false" ht="18" hidden="false" customHeight="true" outlineLevel="0" collapsed="false">
      <c r="B2" s="3" t="s">
        <v>1</v>
      </c>
      <c r="C2" s="3"/>
      <c r="D2" s="3"/>
      <c r="E2" s="3"/>
    </row>
    <row r="4" customFormat="false" ht="15" hidden="false" customHeight="true" outlineLevel="0" collapsed="false">
      <c r="B4" s="4" t="s">
        <v>2</v>
      </c>
      <c r="C4" s="4" t="s">
        <v>3</v>
      </c>
      <c r="D4" s="4"/>
      <c r="E4" s="4"/>
    </row>
    <row r="5" customFormat="false" ht="15.75" hidden="false" customHeight="true" outlineLevel="0" collapsed="false">
      <c r="B5" s="5" t="s">
        <v>4</v>
      </c>
      <c r="C5" s="6"/>
      <c r="D5" s="6"/>
      <c r="E5" s="6"/>
    </row>
    <row r="6" customFormat="false" ht="15.75" hidden="false" customHeight="true" outlineLevel="0" collapsed="false">
      <c r="B6" s="7" t="s">
        <v>5</v>
      </c>
      <c r="C6" s="8" t="n">
        <v>0.5</v>
      </c>
      <c r="D6" s="6"/>
      <c r="E6" s="6"/>
    </row>
    <row r="7" customFormat="false" ht="15.75" hidden="false" customHeight="true" outlineLevel="0" collapsed="false">
      <c r="B7" s="7" t="s">
        <v>6</v>
      </c>
      <c r="C7" s="8" t="n">
        <v>0.1</v>
      </c>
      <c r="D7" s="6"/>
      <c r="E7" s="6"/>
    </row>
    <row r="8" customFormat="false" ht="15.75" hidden="false" customHeight="true" outlineLevel="0" collapsed="false">
      <c r="B8" s="7" t="s">
        <v>7</v>
      </c>
      <c r="C8" s="8" t="n">
        <v>0.5</v>
      </c>
      <c r="D8" s="6"/>
      <c r="E8" s="6"/>
    </row>
    <row r="9" customFormat="false" ht="15.75" hidden="false" customHeight="true" outlineLevel="0" collapsed="false">
      <c r="B9" s="7" t="s">
        <v>8</v>
      </c>
      <c r="C9" s="8" t="n">
        <v>0.9</v>
      </c>
      <c r="D9" s="6"/>
      <c r="E9" s="6"/>
    </row>
    <row r="10" customFormat="false" ht="15.75" hidden="false" customHeight="true" outlineLevel="0" collapsed="false">
      <c r="B10" s="7" t="s">
        <v>9</v>
      </c>
      <c r="C10" s="9" t="n">
        <v>10000000</v>
      </c>
      <c r="D10" s="6"/>
      <c r="E10" s="6"/>
    </row>
    <row r="11" customFormat="false" ht="15.75" hidden="false" customHeight="true" outlineLevel="0" collapsed="false">
      <c r="B11" s="7" t="s">
        <v>10</v>
      </c>
      <c r="C11" s="9" t="n">
        <v>1E-009</v>
      </c>
      <c r="D11" s="6"/>
      <c r="E11" s="6"/>
    </row>
    <row r="12" customFormat="false" ht="15.75" hidden="false" customHeight="true" outlineLevel="0" collapsed="false">
      <c r="B12" s="7" t="s">
        <v>11</v>
      </c>
      <c r="C12" s="9" t="n">
        <v>1E-015</v>
      </c>
      <c r="D12" s="6"/>
      <c r="E12" s="6"/>
    </row>
    <row r="13" customFormat="false" ht="15.75" hidden="false" customHeight="true" outlineLevel="0" collapsed="false">
      <c r="B13" s="7" t="s">
        <v>12</v>
      </c>
      <c r="C13" s="8" t="n">
        <v>1.16</v>
      </c>
      <c r="D13" s="6"/>
      <c r="E13" s="6"/>
    </row>
    <row r="14" customFormat="false" ht="15.75" hidden="false" customHeight="true" outlineLevel="0" collapsed="false">
      <c r="B14" s="7" t="s">
        <v>13</v>
      </c>
      <c r="C14" s="10" t="n">
        <v>19</v>
      </c>
      <c r="D14" s="6"/>
      <c r="E14" s="6"/>
    </row>
    <row r="15" customFormat="false" ht="15.75" hidden="false" customHeight="true" outlineLevel="0" collapsed="false">
      <c r="B15" s="5" t="s">
        <v>14</v>
      </c>
      <c r="C15" s="6"/>
      <c r="D15" s="6"/>
      <c r="E15" s="6"/>
    </row>
    <row r="16" customFormat="false" ht="15.75" hidden="false" customHeight="true" outlineLevel="0" collapsed="false">
      <c r="B16" s="7" t="s">
        <v>15</v>
      </c>
      <c r="C16" s="8" t="n">
        <v>0.15</v>
      </c>
      <c r="D16" s="6"/>
      <c r="E16" s="6"/>
    </row>
    <row r="17" customFormat="false" ht="15.75" hidden="false" customHeight="true" outlineLevel="0" collapsed="false">
      <c r="B17" s="7" t="s">
        <v>16</v>
      </c>
      <c r="C17" s="9" t="n">
        <v>6E-007</v>
      </c>
      <c r="D17" s="6"/>
      <c r="E17" s="6"/>
    </row>
    <row r="18" customFormat="false" ht="15.75" hidden="false" customHeight="true" outlineLevel="0" collapsed="false">
      <c r="B18" s="7" t="s">
        <v>17</v>
      </c>
      <c r="C18" s="10" t="n">
        <v>80</v>
      </c>
      <c r="D18" s="6"/>
      <c r="E18" s="6"/>
    </row>
    <row r="19" customFormat="false" ht="15.75" hidden="false" customHeight="true" outlineLevel="0" collapsed="false">
      <c r="B19" s="7" t="s">
        <v>18</v>
      </c>
      <c r="C19" s="11" t="n">
        <v>10</v>
      </c>
      <c r="D19" s="6"/>
      <c r="E19" s="6"/>
    </row>
    <row r="20" customFormat="false" ht="15.75" hidden="false" customHeight="true" outlineLevel="0" collapsed="false">
      <c r="B20" s="7" t="s">
        <v>19</v>
      </c>
      <c r="C20" s="11" t="n">
        <v>25</v>
      </c>
      <c r="D20" s="6"/>
      <c r="E20" s="6"/>
    </row>
    <row r="21" customFormat="false" ht="15.75" hidden="false" customHeight="true" outlineLevel="0" collapsed="false">
      <c r="B21" s="7" t="s">
        <v>20</v>
      </c>
      <c r="C21" s="12" t="n">
        <v>0.01</v>
      </c>
      <c r="D21" s="6"/>
      <c r="E21" s="6"/>
    </row>
    <row r="22" customFormat="false" ht="15" hidden="false" customHeight="true" outlineLevel="0" collapsed="false">
      <c r="B22" s="6"/>
      <c r="C22" s="6"/>
      <c r="D22" s="6"/>
      <c r="E22" s="6"/>
    </row>
    <row r="23" customFormat="false" ht="15" hidden="false" customHeight="true" outlineLevel="0" collapsed="false">
      <c r="B23" s="5" t="s">
        <v>21</v>
      </c>
      <c r="C23" s="6"/>
      <c r="D23" s="6"/>
      <c r="E23" s="6"/>
    </row>
    <row r="24" customFormat="false" ht="15" hidden="false" customHeight="true" outlineLevel="0" collapsed="false">
      <c r="B24" s="7" t="s">
        <v>22</v>
      </c>
      <c r="C24" s="13" t="n">
        <f aca="false">1-C9</f>
        <v>0.1</v>
      </c>
      <c r="D24" s="6"/>
      <c r="E24" s="6"/>
    </row>
    <row r="25" customFormat="false" ht="15" hidden="false" customHeight="true" outlineLevel="0" collapsed="false">
      <c r="B25" s="7" t="s">
        <v>23</v>
      </c>
      <c r="C25" s="14" t="n">
        <f aca="false">C11/C14</f>
        <v>5.26315789473684E-011</v>
      </c>
      <c r="D25" s="6"/>
      <c r="E25" s="6"/>
    </row>
    <row r="26" customFormat="false" ht="15" hidden="false" customHeight="true" outlineLevel="0" collapsed="false">
      <c r="B26" s="7" t="s">
        <v>24</v>
      </c>
      <c r="C26" s="14" t="n">
        <f aca="false">10^(-C20/10)</f>
        <v>0.00316227766016838</v>
      </c>
      <c r="D26" s="6"/>
      <c r="E26" s="6"/>
    </row>
    <row r="27" customFormat="false" ht="15" hidden="false" customHeight="true" outlineLevel="0" collapsed="false">
      <c r="B27" s="6"/>
      <c r="C27" s="6"/>
      <c r="D27" s="6"/>
      <c r="E27" s="6"/>
    </row>
    <row r="28" customFormat="false" ht="18" hidden="false" customHeight="true" outlineLevel="0" collapsed="false">
      <c r="B28" s="4" t="s">
        <v>25</v>
      </c>
      <c r="C28" s="4"/>
      <c r="D28" s="4"/>
      <c r="E28" s="4"/>
    </row>
    <row r="29" customFormat="false" ht="15" hidden="false" customHeight="true" outlineLevel="0" collapsed="false">
      <c r="B29" s="15" t="s">
        <v>26</v>
      </c>
      <c r="C29" s="14" t="n">
        <f aca="false">1-EXP(-C6*C26)+C17</f>
        <v>0.00158048948863175</v>
      </c>
      <c r="D29" s="6"/>
      <c r="E29" s="6"/>
    </row>
    <row r="30" customFormat="false" ht="15" hidden="false" customHeight="true" outlineLevel="0" collapsed="false">
      <c r="B30" s="15" t="s">
        <v>27</v>
      </c>
      <c r="C30" s="14" t="n">
        <f aca="false">1-EXP(-C7*C26)+C17</f>
        <v>0.000316777771286896</v>
      </c>
      <c r="D30" s="6"/>
      <c r="E30" s="6"/>
    </row>
    <row r="31" customFormat="false" ht="15" hidden="false" customHeight="true" outlineLevel="0" collapsed="false">
      <c r="B31" s="15" t="s">
        <v>28</v>
      </c>
      <c r="C31" s="14" t="n">
        <f aca="false">C8*C29+C8*C30</f>
        <v>0.000948633629959322</v>
      </c>
      <c r="D31" s="6"/>
      <c r="E31" s="6"/>
    </row>
    <row r="32" customFormat="false" ht="15" hidden="false" customHeight="true" outlineLevel="0" collapsed="false">
      <c r="B32" s="6"/>
      <c r="C32" s="6"/>
      <c r="D32" s="6"/>
      <c r="E32" s="6"/>
    </row>
    <row r="33" customFormat="false" ht="18" hidden="false" customHeight="true" outlineLevel="0" collapsed="false">
      <c r="B33" s="4" t="s">
        <v>29</v>
      </c>
      <c r="C33" s="4"/>
      <c r="D33" s="4"/>
      <c r="E33" s="4"/>
    </row>
    <row r="34" customFormat="false" ht="15" hidden="false" customHeight="true" outlineLevel="0" collapsed="false">
      <c r="B34" s="15" t="s">
        <v>30</v>
      </c>
      <c r="C34" s="14" t="n">
        <f aca="false">C10*C8*C29/C31</f>
        <v>8330347.13675247</v>
      </c>
      <c r="D34" s="6"/>
      <c r="E34" s="6"/>
    </row>
    <row r="35" customFormat="false" ht="15" hidden="false" customHeight="true" outlineLevel="0" collapsed="false">
      <c r="B35" s="15" t="s">
        <v>31</v>
      </c>
      <c r="C35" s="14" t="n">
        <f aca="false">C10*C8*C30/C31</f>
        <v>1669652.86324753</v>
      </c>
      <c r="D35" s="6"/>
      <c r="E35" s="6"/>
    </row>
    <row r="36" customFormat="false" ht="15" hidden="false" customHeight="true" outlineLevel="0" collapsed="false">
      <c r="B36" s="15" t="s">
        <v>32</v>
      </c>
      <c r="C36" s="14" t="n">
        <f aca="false">C10*(C24/C9)^2</f>
        <v>123456.790123457</v>
      </c>
      <c r="D36" s="6"/>
      <c r="E36" s="6"/>
    </row>
    <row r="37" customFormat="false" ht="15" hidden="false" customHeight="true" outlineLevel="0" collapsed="false">
      <c r="B37" s="15" t="s">
        <v>33</v>
      </c>
      <c r="C37" s="14" t="n">
        <f aca="false">C36*C8*C29/C31</f>
        <v>102843.791811759</v>
      </c>
      <c r="D37" s="6"/>
      <c r="E37" s="6"/>
    </row>
    <row r="38" customFormat="false" ht="15" hidden="false" customHeight="true" outlineLevel="0" collapsed="false">
      <c r="B38" s="15" t="s">
        <v>34</v>
      </c>
      <c r="C38" s="14" t="n">
        <f aca="false">C36*C8*C30/C31</f>
        <v>20612.9983116979</v>
      </c>
      <c r="D38" s="6"/>
      <c r="E38" s="6"/>
    </row>
    <row r="39" customFormat="false" ht="15" hidden="false" customHeight="true" outlineLevel="0" collapsed="false">
      <c r="B39" s="6"/>
      <c r="C39" s="6"/>
      <c r="D39" s="6"/>
      <c r="E39" s="6"/>
    </row>
    <row r="40" customFormat="false" ht="18" hidden="false" customHeight="true" outlineLevel="0" collapsed="false">
      <c r="B40" s="4" t="s">
        <v>35</v>
      </c>
      <c r="C40" s="4"/>
      <c r="D40" s="4"/>
      <c r="E40" s="4"/>
    </row>
    <row r="41" customFormat="false" ht="15" hidden="false" customHeight="true" outlineLevel="0" collapsed="false">
      <c r="B41" s="15" t="s">
        <v>36</v>
      </c>
      <c r="C41" s="16" t="n">
        <f aca="false">((1-EXP(-C6*C26))*C21+C17/2)/C29</f>
        <v>0.0101860183203461</v>
      </c>
      <c r="D41" s="6"/>
      <c r="E41" s="6"/>
    </row>
    <row r="42" customFormat="false" ht="15" hidden="false" customHeight="true" outlineLevel="0" collapsed="false">
      <c r="B42" s="15" t="s">
        <v>37</v>
      </c>
      <c r="C42" s="16" t="n">
        <f aca="false">((1-EXP(-C7*C26))*C21+C17/2)/C30</f>
        <v>0.010928095424138</v>
      </c>
      <c r="D42" s="6"/>
      <c r="E42" s="6"/>
    </row>
    <row r="43" customFormat="false" ht="15" hidden="false" customHeight="true" outlineLevel="0" collapsed="false">
      <c r="B43" s="15" t="s">
        <v>38</v>
      </c>
      <c r="C43" s="14" t="n">
        <f aca="false">C37*C41</f>
        <v>1047.56874752844</v>
      </c>
      <c r="D43" s="6"/>
      <c r="E43" s="6"/>
    </row>
    <row r="44" customFormat="false" ht="15" hidden="false" customHeight="true" outlineLevel="0" collapsed="false">
      <c r="B44" s="15" t="s">
        <v>39</v>
      </c>
      <c r="C44" s="14" t="n">
        <f aca="false">C38*C42</f>
        <v>225.26081252783</v>
      </c>
      <c r="D44" s="6"/>
      <c r="E44" s="6"/>
    </row>
    <row r="45" customFormat="false" ht="15" hidden="false" customHeight="true" outlineLevel="0" collapsed="false">
      <c r="B45" s="15" t="s">
        <v>40</v>
      </c>
      <c r="C45" s="14" t="n">
        <f aca="false">C43+C44</f>
        <v>1272.82956005627</v>
      </c>
      <c r="D45" s="6"/>
      <c r="E45" s="6"/>
    </row>
    <row r="46" customFormat="false" ht="15" hidden="false" customHeight="true" outlineLevel="0" collapsed="false">
      <c r="B46" s="15" t="s">
        <v>41</v>
      </c>
      <c r="C46" s="14" t="n">
        <f aca="false">C35*C42</f>
        <v>18246.1258147543</v>
      </c>
      <c r="D46" s="6"/>
      <c r="E46" s="6"/>
    </row>
    <row r="47" customFormat="false" ht="15" hidden="false" customHeight="true" outlineLevel="0" collapsed="false">
      <c r="B47" s="15" t="s">
        <v>42</v>
      </c>
      <c r="C47" s="14" t="n">
        <f aca="false">C34*C41+C35*C42</f>
        <v>103099.194364558</v>
      </c>
      <c r="D47" s="6"/>
      <c r="E47" s="6"/>
    </row>
    <row r="48" customFormat="false" ht="15" hidden="false" customHeight="true" outlineLevel="0" collapsed="false">
      <c r="B48" s="15" t="s">
        <v>43</v>
      </c>
      <c r="C48" s="16" t="n">
        <f aca="false">C47/C10</f>
        <v>0.0103099194364558</v>
      </c>
      <c r="D48" s="6"/>
      <c r="E48" s="6"/>
    </row>
    <row r="49" customFormat="false" ht="15" hidden="false" customHeight="true" outlineLevel="0" collapsed="false">
      <c r="B49" s="6"/>
      <c r="C49" s="6"/>
      <c r="D49" s="6"/>
      <c r="E49" s="6"/>
    </row>
    <row r="50" customFormat="false" ht="18" hidden="false" customHeight="true" outlineLevel="0" collapsed="false">
      <c r="B50" s="4" t="s">
        <v>44</v>
      </c>
      <c r="C50" s="4"/>
      <c r="D50" s="4"/>
      <c r="E50" s="4"/>
    </row>
    <row r="51" customFormat="false" ht="15" hidden="false" customHeight="true" outlineLevel="0" collapsed="false">
      <c r="B51" s="15" t="s">
        <v>45</v>
      </c>
      <c r="C51" s="14" t="n">
        <f aca="false">SQRT(C10/2*LN(1/C25))</f>
        <v>10878.3511655289</v>
      </c>
      <c r="D51" s="6"/>
      <c r="E51" s="6"/>
    </row>
    <row r="52" customFormat="false" ht="15" hidden="false" customHeight="true" outlineLevel="0" collapsed="false">
      <c r="B52" s="15" t="s">
        <v>46</v>
      </c>
      <c r="C52" s="14" t="n">
        <f aca="false">SQRT(C36/2*LN(1/C25))</f>
        <v>1208.70568505877</v>
      </c>
      <c r="D52" s="6"/>
      <c r="E52" s="6"/>
    </row>
    <row r="53" customFormat="false" ht="15" hidden="false" customHeight="true" outlineLevel="0" collapsed="false">
      <c r="B53" s="15" t="s">
        <v>47</v>
      </c>
      <c r="C53" s="14" t="n">
        <f aca="false">IF(C45&gt;0,SQRT(C45/2*LN(1/C25)),0)</f>
        <v>122.729284012893</v>
      </c>
      <c r="D53" s="6"/>
      <c r="E53" s="6"/>
    </row>
    <row r="54" customFormat="false" ht="15" hidden="false" customHeight="true" outlineLevel="0" collapsed="false">
      <c r="B54" s="15" t="s">
        <v>48</v>
      </c>
      <c r="C54" s="14" t="n">
        <f aca="false">IF(C47&gt;0,SQRT(C47/2*LN(1/C25)),0)</f>
        <v>1104.56355611603</v>
      </c>
      <c r="D54" s="6"/>
      <c r="E54" s="6"/>
    </row>
    <row r="55" customFormat="false" ht="15" hidden="false" customHeight="true" outlineLevel="0" collapsed="false">
      <c r="B55" s="6"/>
      <c r="C55" s="6"/>
      <c r="D55" s="6"/>
      <c r="E55" s="6"/>
    </row>
    <row r="56" customFormat="false" ht="18" hidden="false" customHeight="true" outlineLevel="0" collapsed="false">
      <c r="B56" s="4" t="s">
        <v>49</v>
      </c>
      <c r="C56" s="4"/>
      <c r="D56" s="4"/>
      <c r="E56" s="4"/>
    </row>
    <row r="57" customFormat="false" ht="15" hidden="false" customHeight="true" outlineLevel="0" collapsed="false">
      <c r="B57" s="15" t="s">
        <v>50</v>
      </c>
      <c r="C57" s="17" t="n">
        <f aca="false">C8*EXP(-C6)+C8*EXP(-C7)</f>
        <v>0.755684038874297</v>
      </c>
      <c r="D57" s="6"/>
      <c r="E57" s="6"/>
    </row>
    <row r="58" customFormat="false" ht="15" hidden="false" customHeight="true" outlineLevel="0" collapsed="false">
      <c r="B58" s="15" t="s">
        <v>51</v>
      </c>
      <c r="C58" s="17" t="n">
        <f aca="false">C8*EXP(-C6)*C6+C8*EXP(-C7)*C7</f>
        <v>0.196874535829956</v>
      </c>
      <c r="D58" s="6"/>
      <c r="E58" s="6"/>
    </row>
    <row r="59" customFormat="false" ht="15" hidden="false" customHeight="true" outlineLevel="0" collapsed="false">
      <c r="B59" s="6"/>
      <c r="C59" s="6"/>
      <c r="D59" s="6"/>
      <c r="E59" s="6"/>
    </row>
    <row r="60" customFormat="false" ht="18" hidden="false" customHeight="true" outlineLevel="0" collapsed="false">
      <c r="B60" s="4" t="s">
        <v>52</v>
      </c>
      <c r="C60" s="4"/>
      <c r="D60" s="4"/>
      <c r="E60" s="4"/>
    </row>
    <row r="61" customFormat="false" ht="15" hidden="false" customHeight="true" outlineLevel="0" collapsed="false">
      <c r="B61" s="15" t="s">
        <v>53</v>
      </c>
      <c r="C61" s="14" t="n">
        <f aca="false">(EXP(C6)/C8)*(C43+C53)</f>
        <v>3858.99051532137</v>
      </c>
      <c r="D61" s="6"/>
      <c r="E61" s="6"/>
    </row>
    <row r="62" customFormat="false" ht="15" hidden="false" customHeight="true" outlineLevel="0" collapsed="false">
      <c r="B62" s="15" t="s">
        <v>54</v>
      </c>
      <c r="C62" s="14" t="n">
        <f aca="false">(EXP(C7)/C8)*(C44-C53)</f>
        <v>226.629727001106</v>
      </c>
      <c r="D62" s="6"/>
      <c r="E62" s="6"/>
    </row>
    <row r="63" customFormat="false" ht="15" hidden="false" customHeight="true" outlineLevel="0" collapsed="false">
      <c r="B63" s="15" t="s">
        <v>55</v>
      </c>
      <c r="C63" s="14" t="n">
        <f aca="false">MAX(C58/(C6-C7)*(C61-C62),0)</f>
        <v>1787.79836041871</v>
      </c>
      <c r="D63" s="6"/>
      <c r="E63" s="6"/>
    </row>
    <row r="64" customFormat="false" ht="15" hidden="false" customHeight="true" outlineLevel="0" collapsed="false">
      <c r="B64" s="6"/>
      <c r="C64" s="6"/>
      <c r="D64" s="6"/>
      <c r="E64" s="6"/>
    </row>
    <row r="65" customFormat="false" ht="18" hidden="false" customHeight="true" outlineLevel="0" collapsed="false">
      <c r="B65" s="4" t="s">
        <v>56</v>
      </c>
      <c r="C65" s="4"/>
      <c r="D65" s="4"/>
      <c r="E65" s="4"/>
    </row>
    <row r="66" customFormat="false" ht="15" hidden="false" customHeight="true" outlineLevel="0" collapsed="false">
      <c r="B66" s="15" t="s">
        <v>57</v>
      </c>
      <c r="C66" s="14" t="n">
        <f aca="false">2*(C57*(EXP(C7)/C8)*(C46+C54)+C51)</f>
        <v>86400.3910526047</v>
      </c>
      <c r="D66" s="6"/>
      <c r="E66" s="6"/>
    </row>
    <row r="67" customFormat="false" ht="15" hidden="false" customHeight="true" outlineLevel="0" collapsed="false">
      <c r="B67" s="15" t="s">
        <v>58</v>
      </c>
      <c r="C67" s="14" t="n">
        <f aca="false">MAX(C58*C6/(C7*(C6-C7))*((EXP(C7)/C8)*(C35-C51)-(C7/C6)^2*(EXP(C6)/C8)*(C34+C51)-(C6^2-C7^2)/C6^2*(C66/C57)),0)</f>
        <v>6045302.27803855</v>
      </c>
      <c r="D67" s="6"/>
      <c r="E67" s="6"/>
    </row>
    <row r="68" customFormat="false" ht="15" hidden="false" customHeight="true" outlineLevel="0" collapsed="false">
      <c r="B68" s="15" t="s">
        <v>59</v>
      </c>
      <c r="C68" s="14" t="n">
        <f aca="false">2*(C57*(EXP(C7)/C8)*(C38*C42+C53)+C52)</f>
        <v>3579.92103826523</v>
      </c>
      <c r="D68" s="6"/>
      <c r="E68" s="6"/>
    </row>
    <row r="69" customFormat="false" ht="15" hidden="false" customHeight="true" outlineLevel="0" collapsed="false">
      <c r="B69" s="15" t="s">
        <v>60</v>
      </c>
      <c r="C69" s="14" t="n">
        <f aca="false">MAX(C58*C6/(C7*(C6-C7))*((EXP(C7)/C8)*(C38-C52)-(C7/C6)^2*(EXP(C6)/C8)*(C37+C52)-(C6^2-C7^2)/C6^2*(C68/C57)),0)</f>
        <v>60583.2222799883</v>
      </c>
      <c r="D69" s="6"/>
      <c r="E69" s="6"/>
    </row>
    <row r="70" customFormat="false" ht="15" hidden="false" customHeight="true" outlineLevel="0" collapsed="false">
      <c r="B70" s="6"/>
      <c r="C70" s="6"/>
      <c r="D70" s="6"/>
      <c r="E70" s="6"/>
    </row>
    <row r="71" customFormat="false" ht="18" hidden="false" customHeight="true" outlineLevel="0" collapsed="false">
      <c r="B71" s="4" t="s">
        <v>61</v>
      </c>
      <c r="C71" s="4"/>
      <c r="D71" s="4"/>
      <c r="E71" s="4"/>
    </row>
    <row r="72" customFormat="false" ht="15" hidden="false" customHeight="true" outlineLevel="0" collapsed="false">
      <c r="B72" s="15" t="s">
        <v>62</v>
      </c>
      <c r="C72" s="17" t="n">
        <f aca="false">IF(C69&gt;0,MIN(C63/C69,0.5),0.5)</f>
        <v>0.0295097931925165</v>
      </c>
      <c r="D72" s="6"/>
      <c r="E72" s="6"/>
    </row>
    <row r="73" customFormat="false" ht="15" hidden="false" customHeight="true" outlineLevel="0" collapsed="false">
      <c r="B73" s="15" t="s">
        <v>63</v>
      </c>
      <c r="C73" s="17" t="n">
        <f aca="false">IF(AND(C72&gt;0,C72&lt;0.5,C67&gt;0,C69&gt;0),SQRT((C67+C69)*(1-C72)*C72/(C67*C69*LN(2))*LOG((C67+C69)/(C67*C69*(1-C72)*C72)*(C14/C11)^2,2)),0)</f>
        <v>0.00629587092399212</v>
      </c>
      <c r="D73" s="6"/>
      <c r="E73" s="6"/>
    </row>
    <row r="74" customFormat="false" ht="15" hidden="false" customHeight="true" outlineLevel="0" collapsed="false">
      <c r="B74" s="15" t="s">
        <v>64</v>
      </c>
      <c r="C74" s="18" t="n">
        <f aca="false">MIN(C72+C73,0.5)</f>
        <v>0.0358056641165087</v>
      </c>
      <c r="D74" s="6"/>
      <c r="E74" s="6"/>
    </row>
    <row r="75" customFormat="false" ht="15" hidden="false" customHeight="true" outlineLevel="0" collapsed="false">
      <c r="B75" s="15" t="s">
        <v>65</v>
      </c>
      <c r="C75" s="17" t="n">
        <f aca="false">IF(OR(C74&lt;=0,C74&gt;=1),0,-C74*LOG(C74,2)-(1-C74)*LOG(1-C74,2))</f>
        <v>0.222719149954196</v>
      </c>
      <c r="D75" s="6"/>
      <c r="E75" s="6"/>
    </row>
    <row r="76" customFormat="false" ht="15" hidden="false" customHeight="true" outlineLevel="0" collapsed="false">
      <c r="B76" s="15" t="s">
        <v>66</v>
      </c>
      <c r="C76" s="17" t="n">
        <f aca="false">1-C75</f>
        <v>0.777280850045804</v>
      </c>
      <c r="D76" s="6"/>
      <c r="E76" s="6"/>
    </row>
    <row r="77" customFormat="false" ht="18" hidden="false" customHeight="true" outlineLevel="0" collapsed="false">
      <c r="B77" s="19" t="s">
        <v>67</v>
      </c>
      <c r="C77" s="19"/>
      <c r="D77" s="19"/>
      <c r="E77" s="19"/>
    </row>
    <row r="78" customFormat="false" ht="18" hidden="false" customHeight="true" outlineLevel="0" collapsed="false">
      <c r="B78" s="20" t="s">
        <v>68</v>
      </c>
      <c r="C78" s="20"/>
      <c r="D78" s="20"/>
      <c r="E78" s="20"/>
    </row>
    <row r="79" customFormat="false" ht="15.75" hidden="false" customHeight="true" outlineLevel="0" collapsed="false">
      <c r="B79" s="21" t="s">
        <v>69</v>
      </c>
      <c r="C79" s="22" t="n">
        <f aca="false">C35</f>
        <v>1669652.86324753</v>
      </c>
      <c r="D79" s="23" t="s">
        <v>70</v>
      </c>
    </row>
    <row r="80" customFormat="false" ht="15.75" hidden="false" customHeight="true" outlineLevel="0" collapsed="false">
      <c r="B80" s="21" t="s">
        <v>71</v>
      </c>
      <c r="C80" s="22" t="n">
        <f aca="false">C35-C51</f>
        <v>1658774.512082</v>
      </c>
    </row>
    <row r="81" customFormat="false" ht="15.75" hidden="false" customHeight="true" outlineLevel="0" collapsed="false">
      <c r="B81" s="21" t="s">
        <v>72</v>
      </c>
      <c r="C81" s="24" t="n">
        <f aca="false">EXP(C7)/C8</f>
        <v>2.2103418361513</v>
      </c>
      <c r="D81" s="23" t="s">
        <v>73</v>
      </c>
    </row>
    <row r="82" customFormat="false" ht="15.75" hidden="false" customHeight="true" outlineLevel="0" collapsed="false">
      <c r="B82" s="21" t="s">
        <v>74</v>
      </c>
      <c r="C82" s="22" t="n">
        <f aca="false">C34</f>
        <v>8330347.13675247</v>
      </c>
      <c r="D82" s="23" t="s">
        <v>75</v>
      </c>
    </row>
    <row r="83" customFormat="false" ht="15.75" hidden="false" customHeight="true" outlineLevel="0" collapsed="false">
      <c r="B83" s="21" t="s">
        <v>76</v>
      </c>
      <c r="C83" s="25" t="n">
        <f aca="false">(C7/C6)^2</f>
        <v>0.04</v>
      </c>
      <c r="D83" s="26" t="s">
        <v>77</v>
      </c>
    </row>
    <row r="84" customFormat="false" ht="3.75" hidden="false" customHeight="true" outlineLevel="0" collapsed="false"/>
    <row r="85" customFormat="false" ht="15" hidden="false" customHeight="true" outlineLevel="0" collapsed="false">
      <c r="B85" s="27" t="s">
        <v>78</v>
      </c>
      <c r="C85" s="28" t="n">
        <f aca="false">(EXP(C7)/C8)*(C35-C51)</f>
        <v>3666458.7007963</v>
      </c>
      <c r="D85" s="29" t="s">
        <v>79</v>
      </c>
    </row>
    <row r="86" customFormat="false" ht="15" hidden="false" customHeight="true" outlineLevel="0" collapsed="false">
      <c r="B86" s="27" t="s">
        <v>80</v>
      </c>
      <c r="C86" s="30" t="n">
        <f aca="false">-(C7/C6)^2*(EXP(C6)/C8)*(C34+C51)</f>
        <v>1100188.47085092</v>
      </c>
      <c r="D86" s="31" t="s">
        <v>81</v>
      </c>
    </row>
    <row r="87" customFormat="false" ht="15" hidden="false" customHeight="true" outlineLevel="0" collapsed="false">
      <c r="B87" s="27" t="s">
        <v>82</v>
      </c>
      <c r="C87" s="32" t="n">
        <f aca="false">-(C6^2-C7^2)/C6^2*(C66/C57)</f>
        <v>-109760.655437501</v>
      </c>
      <c r="D87" s="33" t="s">
        <v>83</v>
      </c>
    </row>
    <row r="88" customFormat="false" ht="15" hidden="false" customHeight="true" outlineLevel="0" collapsed="false">
      <c r="B88" s="34" t="s">
        <v>84</v>
      </c>
      <c r="C88" s="35" t="n">
        <f aca="false">(EXP(C7)/C8)*(C35-C51)-(C7/C6)^2*(EXP(C6)/C8)*(C34+C51)-(C6^2-C7^2)/C6^2*(C66/C57)</f>
        <v>2456509.57450789</v>
      </c>
    </row>
    <row r="89" customFormat="false" ht="15" hidden="false" customHeight="true" outlineLevel="0" collapsed="false">
      <c r="B89" s="27" t="s">
        <v>85</v>
      </c>
      <c r="C89" s="36" t="n">
        <f aca="false">ABS((EXP(C7)/C8)*(C35-C51)) / ABS((C7/C6)^2*(EXP(C6)/C8)*(C34+C51))</f>
        <v>3.33257327988591</v>
      </c>
    </row>
    <row r="90" customFormat="false" ht="15" hidden="false" customHeight="true" outlineLevel="0" collapsed="false">
      <c r="B90" s="37" t="s">
        <v>86</v>
      </c>
    </row>
    <row r="91" customFormat="false" ht="15" hidden="false" customHeight="true" outlineLevel="0" collapsed="false">
      <c r="B91" s="37" t="s">
        <v>87</v>
      </c>
    </row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>
      <c r="B94" s="6"/>
      <c r="C94" s="6"/>
      <c r="D94" s="6"/>
      <c r="E94" s="6"/>
    </row>
    <row r="95" customFormat="false" ht="15" hidden="false" customHeight="true" outlineLevel="0" collapsed="false">
      <c r="B95" s="4" t="s">
        <v>88</v>
      </c>
      <c r="C95" s="38"/>
      <c r="D95" s="38"/>
      <c r="E95" s="39"/>
    </row>
    <row r="96" customFormat="false" ht="15" hidden="false" customHeight="true" outlineLevel="0" collapsed="false">
      <c r="B96" s="15" t="s">
        <v>89</v>
      </c>
      <c r="C96" s="14" t="n">
        <f aca="false">C13*(-C48*LOG(C48,2)-(1-C48)*LOG(1-C48,2))*C10</f>
        <v>960952.982012619</v>
      </c>
      <c r="D96" s="6"/>
      <c r="E96" s="6"/>
    </row>
    <row r="97" customFormat="false" ht="15" hidden="false" customHeight="true" outlineLevel="0" collapsed="false">
      <c r="B97" s="15" t="s">
        <v>90</v>
      </c>
      <c r="C97" s="40" t="n">
        <f aca="false">6*LOG(C14/C11,2)+LOG(2/C12,2)</f>
        <v>255.70060362789</v>
      </c>
      <c r="D97" s="6"/>
      <c r="E97" s="6"/>
    </row>
    <row r="98" customFormat="false" ht="15" hidden="false" customHeight="true" outlineLevel="0" collapsed="false">
      <c r="B98" s="15" t="s">
        <v>91</v>
      </c>
      <c r="C98" s="14" t="n">
        <f aca="false">MAX(C57/(C6-C7)*(C6*(C35-C51)-C7*(C34+C51)),0)</f>
        <v>0</v>
      </c>
      <c r="D98" s="6"/>
      <c r="E98" s="6"/>
    </row>
    <row r="99" customFormat="false" ht="15" hidden="false" customHeight="true" outlineLevel="0" collapsed="false">
      <c r="B99" s="15" t="s">
        <v>92</v>
      </c>
      <c r="C99" s="41" t="n">
        <f aca="false">MAX(C98+C67*C76-C96-C97,0)</f>
        <v>3737689.01084139</v>
      </c>
      <c r="D99" s="6"/>
      <c r="E99" s="6"/>
    </row>
    <row r="100" customFormat="false" ht="15" hidden="false" customHeight="true" outlineLevel="0" collapsed="false">
      <c r="B100" s="15" t="s">
        <v>93</v>
      </c>
      <c r="C100" s="42" t="n">
        <f aca="false">1/(1+C18*1000000*C31*C19*0.000001)</f>
        <v>0.56853492231133</v>
      </c>
      <c r="D100" s="6"/>
      <c r="E100" s="6"/>
    </row>
    <row r="101" customFormat="false" ht="15" hidden="false" customHeight="true" outlineLevel="0" collapsed="false">
      <c r="B101" s="15" t="s">
        <v>94</v>
      </c>
      <c r="C101" s="14" t="n">
        <f aca="false">C10/(C100*C9^2*C31)</f>
        <v>22890712877.1221</v>
      </c>
      <c r="D101" s="6"/>
      <c r="E101" s="6"/>
    </row>
    <row r="102" customFormat="false" ht="15" hidden="false" customHeight="true" outlineLevel="0" collapsed="false">
      <c r="B102" s="15" t="s">
        <v>95</v>
      </c>
      <c r="C102" s="43" t="n">
        <f aca="false">IF(C101&gt;0,C99*C18*1000000/C101,0)</f>
        <v>13062.726463454</v>
      </c>
      <c r="D102" s="6"/>
      <c r="E102" s="6"/>
    </row>
  </sheetData>
  <mergeCells count="12">
    <mergeCell ref="B1:E1"/>
    <mergeCell ref="B2:E2"/>
    <mergeCell ref="B28:E28"/>
    <mergeCell ref="B33:E33"/>
    <mergeCell ref="B40:E40"/>
    <mergeCell ref="B50:E50"/>
    <mergeCell ref="B56:E56"/>
    <mergeCell ref="B60:E60"/>
    <mergeCell ref="B65:E65"/>
    <mergeCell ref="B71:E71"/>
    <mergeCell ref="B77:E77"/>
    <mergeCell ref="B78:E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16"/>
    <col collapsed="false" customWidth="true" hidden="false" outlineLevel="0" max="9" min="3" style="1" width="14"/>
    <col collapsed="false" customWidth="true" hidden="false" outlineLevel="0" max="10" min="10" style="1" width="1"/>
  </cols>
  <sheetData>
    <row r="1" customFormat="false" ht="25.5" hidden="false" customHeight="true" outlineLevel="0" collapsed="false">
      <c r="B1" s="44" t="s">
        <v>96</v>
      </c>
      <c r="C1" s="44"/>
      <c r="D1" s="44"/>
      <c r="E1" s="44"/>
      <c r="F1" s="44"/>
      <c r="G1" s="44"/>
      <c r="H1" s="44"/>
      <c r="I1" s="44"/>
    </row>
    <row r="2" customFormat="false" ht="15" hidden="false" customHeight="true" outlineLevel="0" collapsed="false">
      <c r="B2" s="45" t="s">
        <v>97</v>
      </c>
      <c r="C2" s="45"/>
      <c r="D2" s="45"/>
      <c r="E2" s="45"/>
      <c r="F2" s="45"/>
      <c r="G2" s="45"/>
      <c r="H2" s="45"/>
      <c r="I2" s="45"/>
    </row>
    <row r="4" customFormat="false" ht="15" hidden="false" customHeight="true" outlineLevel="0" collapsed="false">
      <c r="B4" s="46" t="s">
        <v>98</v>
      </c>
      <c r="C4" s="46" t="s">
        <v>99</v>
      </c>
      <c r="D4" s="46" t="s">
        <v>100</v>
      </c>
      <c r="E4" s="46" t="s">
        <v>101</v>
      </c>
      <c r="F4" s="46" t="s">
        <v>102</v>
      </c>
      <c r="G4" s="46" t="s">
        <v>103</v>
      </c>
      <c r="H4" s="46" t="s">
        <v>104</v>
      </c>
    </row>
    <row r="5" customFormat="false" ht="15.75" hidden="false" customHeight="true" outlineLevel="0" collapsed="false">
      <c r="B5" s="47" t="s">
        <v>105</v>
      </c>
      <c r="C5" s="48" t="n">
        <v>30665</v>
      </c>
      <c r="D5" s="48" t="n">
        <v>18066</v>
      </c>
      <c r="E5" s="48" t="n">
        <v>7332</v>
      </c>
      <c r="F5" s="49" t="n">
        <v>0</v>
      </c>
      <c r="G5" s="49" t="n">
        <v>0</v>
      </c>
      <c r="H5" s="49" t="n">
        <v>0</v>
      </c>
    </row>
    <row r="6" customFormat="false" ht="15.75" hidden="false" customHeight="true" outlineLevel="0" collapsed="false">
      <c r="B6" s="47" t="s">
        <v>106</v>
      </c>
      <c r="C6" s="48" t="n">
        <v>27287</v>
      </c>
      <c r="D6" s="48" t="n">
        <v>15711</v>
      </c>
      <c r="E6" s="48" t="n">
        <v>5859</v>
      </c>
      <c r="F6" s="49" t="n">
        <v>0</v>
      </c>
      <c r="G6" s="49" t="n">
        <v>0</v>
      </c>
      <c r="H6" s="49" t="n">
        <v>0</v>
      </c>
    </row>
    <row r="7" customFormat="false" ht="15.75" hidden="false" customHeight="true" outlineLevel="0" collapsed="false">
      <c r="B7" s="47" t="s">
        <v>107</v>
      </c>
      <c r="C7" s="48" t="n">
        <v>21561</v>
      </c>
      <c r="D7" s="48" t="n">
        <v>12325</v>
      </c>
      <c r="E7" s="48" t="n">
        <v>4465</v>
      </c>
      <c r="F7" s="49" t="n">
        <v>0</v>
      </c>
      <c r="G7" s="49" t="n">
        <v>0</v>
      </c>
      <c r="H7" s="49" t="n">
        <v>0</v>
      </c>
    </row>
    <row r="8" customFormat="false" ht="15.75" hidden="false" customHeight="true" outlineLevel="0" collapsed="false">
      <c r="B8" s="47" t="s">
        <v>108</v>
      </c>
      <c r="C8" s="48" t="n">
        <v>13063</v>
      </c>
      <c r="D8" s="48" t="n">
        <v>7431</v>
      </c>
      <c r="E8" s="48" t="n">
        <v>2635</v>
      </c>
      <c r="F8" s="49" t="n">
        <v>0</v>
      </c>
      <c r="G8" s="49" t="n">
        <v>0</v>
      </c>
      <c r="H8" s="49" t="n">
        <v>0</v>
      </c>
    </row>
    <row r="9" customFormat="false" ht="15.75" hidden="false" customHeight="true" outlineLevel="0" collapsed="false">
      <c r="B9" s="47" t="s">
        <v>109</v>
      </c>
      <c r="C9" s="48" t="n">
        <v>5742</v>
      </c>
      <c r="D9" s="48" t="n">
        <v>3235</v>
      </c>
      <c r="E9" s="48" t="n">
        <v>1094</v>
      </c>
      <c r="F9" s="49" t="n">
        <v>0</v>
      </c>
      <c r="G9" s="49" t="n">
        <v>0</v>
      </c>
      <c r="H9" s="49" t="n">
        <v>0</v>
      </c>
    </row>
    <row r="10" customFormat="false" ht="15.75" hidden="false" customHeight="true" outlineLevel="0" collapsed="false">
      <c r="B10" s="47" t="s">
        <v>110</v>
      </c>
      <c r="C10" s="48" t="n">
        <v>1972</v>
      </c>
      <c r="D10" s="48" t="n">
        <v>1079</v>
      </c>
      <c r="E10" s="50" t="n">
        <v>310</v>
      </c>
      <c r="F10" s="49" t="n">
        <v>0</v>
      </c>
      <c r="G10" s="49" t="n">
        <v>0</v>
      </c>
      <c r="H10" s="49" t="n">
        <v>0</v>
      </c>
    </row>
    <row r="11" customFormat="false" ht="15.75" hidden="false" customHeight="true" outlineLevel="0" collapsed="false">
      <c r="B11" s="47" t="s">
        <v>111</v>
      </c>
      <c r="C11" s="50" t="n">
        <v>541</v>
      </c>
      <c r="D11" s="50" t="n">
        <v>261</v>
      </c>
      <c r="E11" s="51" t="n">
        <v>17</v>
      </c>
      <c r="F11" s="49" t="n">
        <v>0</v>
      </c>
      <c r="G11" s="49" t="n">
        <v>0</v>
      </c>
      <c r="H11" s="49" t="n">
        <v>0</v>
      </c>
    </row>
    <row r="14" customFormat="false" ht="18" hidden="false" customHeight="true" outlineLevel="0" collapsed="false">
      <c r="B14" s="52" t="s">
        <v>112</v>
      </c>
      <c r="C14" s="52"/>
      <c r="D14" s="52"/>
      <c r="E14" s="52"/>
      <c r="F14" s="52"/>
      <c r="G14" s="52"/>
      <c r="H14" s="52"/>
      <c r="I14" s="52"/>
    </row>
    <row r="15" customFormat="false" ht="15" hidden="false" customHeight="false" outlineLevel="0" collapsed="false">
      <c r="B15" s="45" t="s">
        <v>113</v>
      </c>
      <c r="C15" s="45"/>
      <c r="D15" s="45"/>
      <c r="E15" s="45"/>
      <c r="F15" s="45"/>
      <c r="G15" s="45"/>
      <c r="H15" s="45"/>
      <c r="I15" s="45"/>
    </row>
    <row r="17" customFormat="false" ht="15" hidden="false" customHeight="false" outlineLevel="0" collapsed="false">
      <c r="B17" s="53" t="s">
        <v>114</v>
      </c>
      <c r="C17" s="53" t="s">
        <v>115</v>
      </c>
      <c r="D17" s="54"/>
      <c r="E17" s="54"/>
    </row>
    <row r="18" customFormat="false" ht="15" hidden="false" customHeight="false" outlineLevel="0" collapsed="false">
      <c r="B18" s="27" t="s">
        <v>15</v>
      </c>
      <c r="C18" s="55" t="n">
        <v>0.15</v>
      </c>
    </row>
    <row r="19" customFormat="false" ht="15" hidden="false" customHeight="false" outlineLevel="0" collapsed="false">
      <c r="B19" s="27" t="s">
        <v>116</v>
      </c>
      <c r="C19" s="55" t="n">
        <v>0.2</v>
      </c>
    </row>
    <row r="20" customFormat="false" ht="15" hidden="false" customHeight="false" outlineLevel="0" collapsed="false">
      <c r="B20" s="27" t="s">
        <v>117</v>
      </c>
      <c r="C20" s="56" t="n">
        <f aca="false">-10*LOG(C18,10)</f>
        <v>8.23908740944319</v>
      </c>
    </row>
    <row r="22" customFormat="false" ht="15" hidden="false" customHeight="false" outlineLevel="0" collapsed="false">
      <c r="B22" s="53" t="s">
        <v>118</v>
      </c>
      <c r="C22" s="53" t="s">
        <v>119</v>
      </c>
      <c r="D22" s="53" t="s">
        <v>120</v>
      </c>
      <c r="E22" s="53"/>
    </row>
    <row r="23" customFormat="false" ht="15.75" hidden="false" customHeight="true" outlineLevel="0" collapsed="false">
      <c r="B23" s="57" t="n">
        <v>10</v>
      </c>
      <c r="C23" s="58" t="n">
        <f aca="false">10-C20</f>
        <v>1.76091259055681</v>
      </c>
      <c r="D23" s="59" t="n">
        <f aca="false">(10-C20)/C19</f>
        <v>8.80456295278407</v>
      </c>
    </row>
    <row r="24" customFormat="false" ht="15.75" hidden="false" customHeight="true" outlineLevel="0" collapsed="false">
      <c r="B24" s="57" t="n">
        <v>15</v>
      </c>
      <c r="C24" s="58" t="n">
        <f aca="false">15-C20</f>
        <v>6.76091259055681</v>
      </c>
      <c r="D24" s="59" t="n">
        <f aca="false">(15-C20)/C19</f>
        <v>33.8045629527841</v>
      </c>
    </row>
    <row r="25" customFormat="false" ht="15.75" hidden="false" customHeight="true" outlineLevel="0" collapsed="false">
      <c r="B25" s="57" t="n">
        <v>20</v>
      </c>
      <c r="C25" s="58" t="n">
        <f aca="false">20-C20</f>
        <v>11.7609125905568</v>
      </c>
      <c r="D25" s="59" t="n">
        <f aca="false">(20-C20)/C19</f>
        <v>58.8045629527841</v>
      </c>
    </row>
    <row r="26" customFormat="false" ht="15.75" hidden="false" customHeight="true" outlineLevel="0" collapsed="false">
      <c r="B26" s="57" t="n">
        <v>25</v>
      </c>
      <c r="C26" s="58" t="n">
        <f aca="false">25-C20</f>
        <v>16.7609125905568</v>
      </c>
      <c r="D26" s="59" t="n">
        <f aca="false">(25-C20)/C19</f>
        <v>83.8045629527841</v>
      </c>
      <c r="E26" s="60" t="s">
        <v>121</v>
      </c>
    </row>
    <row r="27" customFormat="false" ht="15.75" hidden="false" customHeight="true" outlineLevel="0" collapsed="false">
      <c r="B27" s="57" t="n">
        <v>30</v>
      </c>
      <c r="C27" s="58" t="n">
        <f aca="false">30-C20</f>
        <v>21.7609125905568</v>
      </c>
      <c r="D27" s="59" t="n">
        <f aca="false">(30-C20)/C19</f>
        <v>108.804562952784</v>
      </c>
    </row>
    <row r="28" customFormat="false" ht="15.75" hidden="false" customHeight="true" outlineLevel="0" collapsed="false">
      <c r="B28" s="57" t="n">
        <v>35</v>
      </c>
      <c r="C28" s="58" t="n">
        <f aca="false">35-C20</f>
        <v>26.7609125905568</v>
      </c>
      <c r="D28" s="59" t="n">
        <f aca="false">(35-C20)/C19</f>
        <v>133.804562952784</v>
      </c>
    </row>
    <row r="29" customFormat="false" ht="15.75" hidden="false" customHeight="true" outlineLevel="0" collapsed="false">
      <c r="B29" s="57" t="n">
        <v>40</v>
      </c>
      <c r="C29" s="58" t="n">
        <f aca="false">40-C20</f>
        <v>31.7609125905568</v>
      </c>
      <c r="D29" s="59" t="n">
        <f aca="false">(40-C20)/C19</f>
        <v>158.804562952784</v>
      </c>
    </row>
    <row r="30" customFormat="false" ht="15.75" hidden="false" customHeight="true" outlineLevel="0" collapsed="false">
      <c r="B30" s="57" t="n">
        <v>45</v>
      </c>
      <c r="C30" s="58" t="n">
        <f aca="false">45-C20</f>
        <v>36.7609125905568</v>
      </c>
      <c r="D30" s="59" t="n">
        <f aca="false">(45-C20)/C19</f>
        <v>183.804562952784</v>
      </c>
      <c r="E30" s="61" t="s">
        <v>122</v>
      </c>
    </row>
    <row r="31" customFormat="false" ht="15.75" hidden="false" customHeight="true" outlineLevel="0" collapsed="false">
      <c r="B31" s="57" t="n">
        <v>47</v>
      </c>
      <c r="C31" s="58" t="n">
        <f aca="false">47-C20</f>
        <v>38.7609125905568</v>
      </c>
      <c r="D31" s="62" t="n">
        <f aca="false">(47-C20)/C19</f>
        <v>193.804562952784</v>
      </c>
      <c r="E31" s="63" t="s">
        <v>123</v>
      </c>
    </row>
    <row r="32" customFormat="false" ht="15.75" hidden="false" customHeight="true" outlineLevel="0" collapsed="false">
      <c r="B32" s="57" t="n">
        <v>50</v>
      </c>
      <c r="C32" s="58" t="n">
        <f aca="false">50-C20</f>
        <v>41.7609125905568</v>
      </c>
      <c r="D32" s="59" t="n">
        <f aca="false">(50-C20)/C19</f>
        <v>208.804562952784</v>
      </c>
    </row>
    <row r="34" customFormat="false" ht="15" hidden="false" customHeight="false" outlineLevel="0" collapsed="false">
      <c r="B34" s="64" t="s">
        <v>124</v>
      </c>
    </row>
    <row r="35" customFormat="false" ht="15" hidden="false" customHeight="false" outlineLevel="0" collapsed="false">
      <c r="B35" s="65" t="s">
        <v>125</v>
      </c>
    </row>
    <row r="36" customFormat="false" ht="15" hidden="false" customHeight="false" outlineLevel="0" collapsed="false">
      <c r="B36" s="66" t="s">
        <v>126</v>
      </c>
    </row>
  </sheetData>
  <mergeCells count="5">
    <mergeCell ref="B1:I1"/>
    <mergeCell ref="B2:I2"/>
    <mergeCell ref="B14:I14"/>
    <mergeCell ref="B15:I15"/>
    <mergeCell ref="D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2026-03-19T11:38:34Z</dcterms:created>
  <dc:creator>openpyxl</dc:creator>
  <dc:description/>
  <dc:language>en-US</dc:language>
  <cp:lastModifiedBy/>
  <dcterms:modified xsi:type="dcterms:W3CDTF">2026-03-19T15:16:25Z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