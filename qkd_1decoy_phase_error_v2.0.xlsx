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ruchithareja/Downloads/"/>
    </mc:Choice>
  </mc:AlternateContent>
  <xr:revisionPtr revIDLastSave="0" documentId="13_ncr:1_{B53CEAC8-BE6D-984D-827A-775DDC41F855}" xr6:coauthVersionLast="47" xr6:coauthVersionMax="47" xr10:uidLastSave="{00000000-0000-0000-0000-000000000000}"/>
  <bookViews>
    <workbookView xWindow="0" yWindow="660" windowWidth="30240" windowHeight="17700" tabRatio="500" xr2:uid="{00000000-000D-0000-FFFF-FFFF00000000}"/>
  </bookViews>
  <sheets>
    <sheet name="Phase Error Calculation" sheetId="1" r:id="rId1"/>
    <sheet name="Sensitivity — e_det vs att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11" i="1" l="1"/>
  <c r="C31" i="2"/>
  <c r="D30" i="2"/>
  <c r="C30" i="2"/>
  <c r="D29" i="2"/>
  <c r="D28" i="2"/>
  <c r="C28" i="2"/>
  <c r="D27" i="2"/>
  <c r="C20" i="2"/>
  <c r="D32" i="2" s="1"/>
  <c r="C109" i="1"/>
  <c r="C83" i="1"/>
  <c r="C81" i="1"/>
  <c r="C58" i="1"/>
  <c r="C57" i="1"/>
  <c r="C51" i="1"/>
  <c r="C36" i="1"/>
  <c r="C26" i="1"/>
  <c r="C30" i="1" s="1"/>
  <c r="C25" i="1"/>
  <c r="C24" i="1"/>
  <c r="C42" i="1" l="1"/>
  <c r="C27" i="2"/>
  <c r="C52" i="1"/>
  <c r="C29" i="2"/>
  <c r="D24" i="2"/>
  <c r="D25" i="2"/>
  <c r="D31" i="2"/>
  <c r="C23" i="2"/>
  <c r="D23" i="2"/>
  <c r="C24" i="2"/>
  <c r="C29" i="1"/>
  <c r="C26" i="2"/>
  <c r="C32" i="2"/>
  <c r="C25" i="2"/>
  <c r="D26" i="2"/>
  <c r="C31" i="1" l="1"/>
  <c r="C41" i="1"/>
  <c r="C37" i="1"/>
  <c r="C43" i="1" l="1"/>
  <c r="C112" i="1"/>
  <c r="C113" i="1" s="1"/>
  <c r="C38" i="1"/>
  <c r="C35" i="1"/>
  <c r="C34" i="1"/>
  <c r="C85" i="1" l="1"/>
  <c r="C97" i="1"/>
  <c r="C46" i="1"/>
  <c r="C80" i="1"/>
  <c r="C99" i="1"/>
  <c r="C79" i="1"/>
  <c r="C89" i="1"/>
  <c r="C110" i="1"/>
  <c r="C100" i="1"/>
  <c r="C44" i="1"/>
  <c r="C47" i="1"/>
  <c r="C82" i="1"/>
  <c r="C98" i="1"/>
  <c r="C86" i="1"/>
  <c r="C45" i="1" l="1"/>
  <c r="C53" i="1" s="1"/>
  <c r="C48" i="1"/>
  <c r="C108" i="1" s="1"/>
  <c r="C54" i="1"/>
  <c r="C66" i="1"/>
  <c r="C87" i="1" l="1"/>
  <c r="C88" i="1"/>
  <c r="C67" i="1"/>
  <c r="C68" i="1"/>
  <c r="C69" i="1" s="1"/>
  <c r="C61" i="1"/>
  <c r="C63" i="1" s="1"/>
  <c r="C62" i="1"/>
  <c r="C72" i="1" l="1"/>
  <c r="C73" i="1" l="1"/>
  <c r="C74" i="1" s="1"/>
  <c r="C75" i="1" s="1"/>
  <c r="C76" i="1" s="1"/>
  <c r="C114" i="1" s="1"/>
</calcChain>
</file>

<file path=xl/sharedStrings.xml><?xml version="1.0" encoding="utf-8"?>
<sst xmlns="http://schemas.openxmlformats.org/spreadsheetml/2006/main" count="142" uniqueCount="141">
  <si>
    <t>1-Decoy QKD — Phase Error φ_Z  (Step-by-Step)</t>
  </si>
  <si>
    <t>Rusca et al. (2018)  ·  Eq. A20–A23 + Appendix B</t>
  </si>
  <si>
    <t>PARAMETER</t>
  </si>
  <si>
    <t>VALUE</t>
  </si>
  <si>
    <t>── Protocol ──────────────</t>
  </si>
  <si>
    <t>μ₁  signal intensity</t>
  </si>
  <si>
    <t>μ₂  decoy intensity</t>
  </si>
  <si>
    <t>p_μ₁ = p_μ₂</t>
  </si>
  <si>
    <t>p_Z</t>
  </si>
  <si>
    <t>n_Z  block size</t>
  </si>
  <si>
    <t>ε_sec</t>
  </si>
  <si>
    <t>ε_cor</t>
  </si>
  <si>
    <t>f_EC</t>
  </si>
  <si>
    <t>K  (1-decoy)</t>
  </si>
  <si>
    <t>── Hardware ─────────────</t>
  </si>
  <si>
    <t>η_Bob  detector efficiency</t>
  </si>
  <si>
    <t>p_dc  dark count prob/gate</t>
  </si>
  <si>
    <t>f_rep  gate rate (MHz)</t>
  </si>
  <si>
    <t>dead_time (μs)</t>
  </si>
  <si>
    <t>Global attenuation (dB)</t>
  </si>
  <si>
    <t>e_det  misalignment  ← vary</t>
  </si>
  <si>
    <t>── Derived ──────────────</t>
  </si>
  <si>
    <t>p_X = 1 − p_Z</t>
  </si>
  <si>
    <t>ε₁ = ε_sec / K</t>
  </si>
  <si>
    <t>η_sys = 10^(−att/10)</t>
  </si>
  <si>
    <t>Step 2  —  Detection Probabilities  P_det(μ)  [Rusca Eq. B2]</t>
  </si>
  <si>
    <t>P_det(μ₁) = 1−exp(−μ₁·η)+p_dc</t>
  </si>
  <si>
    <t>P_det(μ₂) = 1−exp(−μ₂·η)+p_dc</t>
  </si>
  <si>
    <t>P_det_tot = p_μ₁·Pd1 + p_μ₂·Pd2</t>
  </si>
  <si>
    <t>Step 3  —  Count Distribution  [Rusca Eq. B1]</t>
  </si>
  <si>
    <t>n_Z,μ₁ = n_Z·p_μ₁·Pd1/Pdt</t>
  </si>
  <si>
    <t>n_Z,μ₂ = n_Z·p_μ₂·Pd2/Pdt</t>
  </si>
  <si>
    <t>n_X = n_Z·(p_X/p_Z)²  [both choose X]</t>
  </si>
  <si>
    <t>n_X,μ₁ = n_X·p_μ₁·Pd1/Pdt</t>
  </si>
  <si>
    <t>n_X,μ₂ = n_X·p_μ₂·Pd2/Pdt</t>
  </si>
  <si>
    <t>Step 4  —  QBER and Error Counts  [Rusca Eq. B4/B5]</t>
  </si>
  <si>
    <t>E₁ = [(1−exp(−μ₁η))·e_det + p_dc/2] / Pd1</t>
  </si>
  <si>
    <t>E₂ = [(1−exp(−μ₂η))·e_det + p_dc/2] / Pd2</t>
  </si>
  <si>
    <t>m_X,μ₁ = n_X,μ₁ · E₁</t>
  </si>
  <si>
    <t>m_X,μ₂ = n_X,μ₂ · E₂</t>
  </si>
  <si>
    <t>m_X total</t>
  </si>
  <si>
    <t>m_Z,μ₂ = n_Z,μ₂ · E₂</t>
  </si>
  <si>
    <t>m_Z total = n_Z,μ₁·E₁ + n_Z,μ₂·E₂</t>
  </si>
  <si>
    <t>e_obs (observed QBER on Z)</t>
  </si>
  <si>
    <t>Step 5  —  Hoeffding Corrections  δ  [Rusca Eq. A18]</t>
  </si>
  <si>
    <t>δ(n_Z) = √(n_Z/2·ln(1/ε₁))</t>
  </si>
  <si>
    <t>δ(n_X) = √(n_X/2·ln(1/ε₁))</t>
  </si>
  <si>
    <t>δ(m_X) = √(m_X/2·ln(1/ε₁))</t>
  </si>
  <si>
    <t>δ(m_Z) = √(m_Z/2·ln(1/ε₁))</t>
  </si>
  <si>
    <t>Step 6  —  τ₀ and τ₁</t>
  </si>
  <si>
    <t>τ₀ = p_μ₁·exp(−μ₁) + p_μ₂·exp(−μ₂)</t>
  </si>
  <si>
    <t>τ₁ = p_μ₁·exp(−μ₁)·μ₁ + p_μ₂·exp(−μ₂)·μ₂</t>
  </si>
  <si>
    <t>Step 7  —  v^u_{X,1}  [Rusca Eq. A22]</t>
  </si>
  <si>
    <t>m+_X,μ₁ weighted = (exp(μ₁)/p_μ₁)·(mX1+δmX)</t>
  </si>
  <si>
    <t>m−_X,μ₂ weighted = (exp(μ₂)/p_μ₂)·(mX2−δmX)</t>
  </si>
  <si>
    <t>v^u_{X,1} = MAX(τ₁/(μ₁−μ₂)·(m+−m−), 0)</t>
  </si>
  <si>
    <t>Step 8  —  s^l_{Z,1} and s^l_{X,1}  [Rusca Eq. A17]</t>
  </si>
  <si>
    <t>s^u_{Z,0} = 2·[τ₀·(exp(μ₂)/p_μ₂)·(mZ2+δmZ) + δnZ]</t>
  </si>
  <si>
    <t>s^l_{Z,1}  [Rusca Eq. A17]</t>
  </si>
  <si>
    <t>s^u_{Z,0} (X basis)</t>
  </si>
  <si>
    <t>s^l_{X,1}  [same formula, X-basis]</t>
  </si>
  <si>
    <t>Step 9  —  Phase Error φ^u_Z  [Rusca Eq. A20–A23]</t>
  </si>
  <si>
    <t>φ_raw = v^u_{X,1} / s^l_{X,1}  [Rusca Eq. A20]</t>
  </si>
  <si>
    <t>γ  finite-key correction  [Rusca Eq. A21]</t>
  </si>
  <si>
    <t>φ^u_Z = min(φ_raw + γ, 0.5)  [Rusca Eq. A23]</t>
  </si>
  <si>
    <t>h(φ^u_Z)  binary entropy</t>
  </si>
  <si>
    <t>1 − h(φ^u_Z)</t>
  </si>
  <si>
    <t>Step 9b  —  Bracket Decomposition of Eq. A17:  Why Decoy Dominates</t>
  </si>
  <si>
    <t>Eq. A17 bracket = Term 1 (decoy) − Term 2 (signal) − Term 3 (vacuum)</t>
  </si>
  <si>
    <t>n_{Z,μ₂}  raw decoy count</t>
  </si>
  <si>
    <t>(17% of n_Z — fewer pulses but cleaner)</t>
  </si>
  <si>
    <t>n⁻_{Z,μ₂} = n_{Z,μ₂} − δ(n_Z)  [Hoeffding lower correction]</t>
  </si>
  <si>
    <t>e^μ₂ / p_μ₂  [weight factor for decoy]</t>
  </si>
  <si>
    <t>(= exp(0.1)/0.5 ≈ 2.21)</t>
  </si>
  <si>
    <t>n_{Z,μ₁}  raw signal count</t>
  </si>
  <si>
    <t>(83% of n_Z — more pulses but multi-photon contamination)</t>
  </si>
  <si>
    <t>(μ₂/μ₁)²  [suppression factor on signal in Eq. A17]</t>
  </si>
  <si>
    <t>← signal suppressed to only 4% of its weighted value</t>
  </si>
  <si>
    <t>Term 1  (decoy, positive):  (e^μ₂/p_μ₂) · n⁻_{Z,μ₂}</t>
  </si>
  <si>
    <t>← largest term: decoy weighted count</t>
  </si>
  <si>
    <t>Term 2  (signal, negative):  −(μ₂/μ₁)² · (e^μ₁/p_μ₁) · n⁺_{Z,μ₁}</t>
  </si>
  <si>
    <t>← signal suppressed by (μ₂/μ₁)²</t>
  </si>
  <si>
    <t>Term 3  (vacuum penalty, negative):  −(μ₁²−μ₂²)/μ₁² · s^u_{Z,0}/τ₀</t>
  </si>
  <si>
    <t>← cost of loose s^u_{Z,0}</t>
  </si>
  <si>
    <t>Net bracket  =  Term 1 + Term 2 + Term 3</t>
  </si>
  <si>
    <t>Ratio  |Term 1| / |Term 2|  (how much decoy exceeds signal contribution)</t>
  </si>
  <si>
    <t>→  Despite signal having MORE raw detections (83% vs 17%), the (μ₂/μ₁)²=0.04</t>
  </si>
  <si>
    <t xml:space="preserve">   suppression means decoy term dominates the bracket by ~3x.</t>
  </si>
  <si>
    <t>Step 9c  —  s^l_{Z,0}  Lower Bound on Vacuum Events  [Rusca Eq. A19]</t>
  </si>
  <si>
    <t>Eq. A19:  s^l_{Z,0} = τ₀/(μ₁−μ₂) · [μ₁·n⁻_{Z,μ₂}  −  μ₂·n⁺_{Z,μ₁}]</t>
  </si>
  <si>
    <t>Term A  (positive):  μ₁ · n⁻_{Z,μ₂} = μ₁ · (n_{Z,μ₂} − δ(n_Z))</t>
  </si>
  <si>
    <t>← μ₁ amplifies decoy counts</t>
  </si>
  <si>
    <t>Term B  (negative):  μ₂ · n⁺_{Z,μ₁} = μ₂ · (n_{Z,μ₁} + δ(n_Z))</t>
  </si>
  <si>
    <t>← μ₂ amplifies signal counts</t>
  </si>
  <si>
    <t>Raw bracket  =  Term A  −  Term B</t>
  </si>
  <si>
    <t>positive = bound valid   |   negative = bound fails (clamped to 0)</t>
  </si>
  <si>
    <t>s^l_{Z,0} = MAX( τ₀/(μ₁−μ₂) · bracket,  0 )  [Rusca Eq. A19]</t>
  </si>
  <si>
    <t>Why s^l_{Z,0} = 0 at 25 dB  —  Three Regimes of the bracket:</t>
  </si>
  <si>
    <t>Regime 1  (0–30 km):   Poisson concavity  →  Pd1/Pd2 &lt; μ₁/μ₂  →  Term A &gt; Term B  →  bound VALID</t>
  </si>
  <si>
    <t>Regime 2  (30–120 km): Linear Poisson     →  Pd1/Pd2 → μ₁/μ₂  →  bracket → 0,  Hoeffding δ dominates  →  bound FAILS</t>
  </si>
  <si>
    <t>Regime 3  (&gt;120 km):   Dark count rescue  →  Pd1 ≈ Pd2         →  Term A &gt;&gt; Term B  →  bound VALID again</t>
  </si>
  <si>
    <t>At 25 dB (83.8 km) we are in Regime 2  →  s^l_{Z,0} = 0  →  does NOT contribute to ℓ at this distance</t>
  </si>
  <si>
    <t>Step 10  —  Secret Key Length ℓ and SKR  [Rusca Eq. A25, B7, B8]</t>
  </si>
  <si>
    <t>λ_EC = f_EC · h(e_obs) · n_Z</t>
  </si>
  <si>
    <t>Overhead = 6·log₂(K/ε_sec) + log₂(2/ε_cor)</t>
  </si>
  <si>
    <t>s^l_{Z,0}  [Rusca Eq. A19]</t>
  </si>
  <si>
    <t>ℓ = s^l_{Z,0} + s^l_{Z,1}·(1−h(φ)) − λ_EC − overhead</t>
  </si>
  <si>
    <t>c_DT  dead-time correction  [Rusca Eq. B3]</t>
  </si>
  <si>
    <t>N_tot = n_Z / (c_DT · p_Z² · P_det_tot)  [Rusca Eq. B7]</t>
  </si>
  <si>
    <t>SKR (bits/s) = ℓ · f_rep / N_tot  [Rusca Eq. B8]</t>
  </si>
  <si>
    <t>SKR (bits/s) vs e_det and Global Attenuation  [n_Z=1e7, 80 MHz, 10μs dead time]</t>
  </si>
  <si>
    <t>Green ≥1000 b/s  |  Amber 100–999 b/s  |  Light red 1–99 b/s  |  Red = 0 (no key)</t>
  </si>
  <si>
    <t>Att (dB) \ e_det</t>
  </si>
  <si>
    <t>1%</t>
  </si>
  <si>
    <t>2%</t>
  </si>
  <si>
    <t>3%</t>
  </si>
  <si>
    <t>4%</t>
  </si>
  <si>
    <t>5%</t>
  </si>
  <si>
    <t>7%</t>
  </si>
  <si>
    <t>10 dB</t>
  </si>
  <si>
    <t>15 dB</t>
  </si>
  <si>
    <t>20 dB</t>
  </si>
  <si>
    <t>25 dB</t>
  </si>
  <si>
    <t>30 dB</t>
  </si>
  <si>
    <t>35 dB</t>
  </si>
  <si>
    <t>40 dB</t>
  </si>
  <si>
    <t>Distance ↔ Attenuation Conversion</t>
  </si>
  <si>
    <t>d (km) = [att_global (dB) − att_detector (dB)] / α    where  att_detector = −10·log₁₀(η_Bob)</t>
  </si>
  <si>
    <t>Parameter</t>
  </si>
  <si>
    <t>Value</t>
  </si>
  <si>
    <t>α  fibre loss (dB/km)</t>
  </si>
  <si>
    <t>att_detector = −10·log₁₀(η_Bob)  (dB)</t>
  </si>
  <si>
    <t>att_global (dB)</t>
  </si>
  <si>
    <t>att_channel (dB)</t>
  </si>
  <si>
    <t>Distance (km)</t>
  </si>
  <si>
    <t>← BB84 datasheet operating point</t>
  </si>
  <si>
    <t>← ≈ 2-decoy max range</t>
  </si>
  <si>
    <t>← 1-decoy max range</t>
  </si>
  <si>
    <t>Formula:  d = (att_global − att_detector) / α</t>
  </si>
  <si>
    <t>Example:  d = (47.0 − 8.24) / 0.2 = 193.8 km  (1-decoy cutoff at n_Z=10⁷, e_det=1%)</t>
  </si>
  <si>
    <t>Note: att_detector = 8.24 dB for η_Bob=0.15. Better detector → longer reach at same budget.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</si>
</sst>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0.0%"/>
    <numFmt numFmtId="166" formatCode="0.000000"/>
    <numFmt numFmtId="167" formatCode="0.000"/>
    <numFmt numFmtId="168" formatCode="0.0000"/>
    <numFmt numFmtId="169" formatCode="0.00\x"/>
    <numFmt numFmtId="170" formatCode="#,##0.0"/>
    <numFmt numFmtId="171" formatCode="0.00&quot; dB&quot;"/>
  </numFmts>
  <fonts count="29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2E75B6"/>
      <name val="Arial"/>
      <family val="2"/>
    </font>
    <font>
      <sz val="10"/>
      <color rgb="FF40404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1F3864"/>
      <name val="Arial"/>
      <family val="2"/>
    </font>
    <font>
      <sz val="10"/>
      <color rgb="FF555555"/>
      <name val="Arial"/>
      <family val="2"/>
    </font>
    <font>
      <i/>
      <sz val="9"/>
      <color rgb="FF888888"/>
      <name val="Arial"/>
      <family val="2"/>
    </font>
    <font>
      <i/>
      <sz val="9"/>
      <color rgb="FFC0392B"/>
      <name val="Arial"/>
      <family val="2"/>
    </font>
    <font>
      <i/>
      <sz val="9"/>
      <color rgb="FF27AE60"/>
      <name val="Arial"/>
      <family val="2"/>
    </font>
    <font>
      <i/>
      <sz val="9"/>
      <color rgb="FFD4A017"/>
      <name val="Arial"/>
      <family val="2"/>
    </font>
    <font>
      <b/>
      <sz val="10"/>
      <color rgb="FF404040"/>
      <name val="Arial"/>
      <family val="2"/>
    </font>
    <font>
      <i/>
      <sz val="9"/>
      <color rgb="FF1F3864"/>
      <name val="Arial"/>
      <family val="2"/>
    </font>
    <font>
      <sz val="9"/>
      <color rgb="FF008080"/>
      <name val="Arial"/>
      <family val="2"/>
    </font>
    <font>
      <sz val="9"/>
      <color rgb="FFC0392B"/>
      <name val="Arial"/>
      <family val="2"/>
    </font>
    <font>
      <sz val="9"/>
      <color rgb="FF7B2D8B"/>
      <name val="Arial"/>
      <family val="2"/>
    </font>
    <font>
      <b/>
      <sz val="9"/>
      <color rgb="FFD4A017"/>
      <name val="Arial"/>
      <family val="2"/>
    </font>
    <font>
      <b/>
      <sz val="11"/>
      <color rgb="FFFFFFFF"/>
      <name val="Arial"/>
      <family val="2"/>
    </font>
    <font>
      <sz val="9"/>
      <color rgb="FFFFFFFF"/>
      <name val="Arial"/>
      <family val="2"/>
    </font>
    <font>
      <b/>
      <sz val="9"/>
      <color rgb="FF1F3864"/>
      <name val="Arial"/>
      <family val="2"/>
    </font>
    <font>
      <b/>
      <sz val="10"/>
      <name val="Arial"/>
      <family val="2"/>
    </font>
    <font>
      <sz val="10"/>
      <color rgb="FFD4A017"/>
      <name val="Arial"/>
      <family val="2"/>
    </font>
    <font>
      <sz val="10"/>
      <color rgb="FF2E75B6"/>
      <name val="Arial"/>
      <family val="2"/>
    </font>
    <font>
      <b/>
      <sz val="10"/>
      <color rgb="FF000000"/>
      <name val="Arial"/>
      <family val="2"/>
    </font>
    <font>
      <b/>
      <sz val="10"/>
      <color rgb="FF27AE60"/>
      <name val="Arial"/>
      <family val="2"/>
    </font>
    <font>
      <sz val="10"/>
      <color rgb="FF88888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6E4F7"/>
        <bgColor rgb="FFD5E8D4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D5E8D4"/>
      </patternFill>
    </fill>
    <fill>
      <patternFill patternType="solid">
        <fgColor rgb="FFFFCCCC"/>
        <bgColor rgb="FFFFF2CC"/>
      </patternFill>
    </fill>
    <fill>
      <patternFill patternType="solid">
        <fgColor rgb="FF008080"/>
        <bgColor rgb="FF008080"/>
      </patternFill>
    </fill>
    <fill>
      <patternFill patternType="solid">
        <fgColor rgb="FFD5E8D4"/>
        <bgColor rgb="FFE2EFDA"/>
      </patternFill>
    </fill>
    <fill>
      <patternFill patternType="solid">
        <fgColor rgb="FFC00000"/>
        <bgColor rgb="FF800000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2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8" fillId="0" borderId="0" xfId="0" applyFont="1"/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0" fillId="0" borderId="1" xfId="0" applyBorder="1"/>
    <xf numFmtId="0" fontId="5" fillId="0" borderId="1" xfId="0" applyFont="1" applyBorder="1"/>
    <xf numFmtId="2" fontId="6" fillId="4" borderId="1" xfId="0" applyNumberFormat="1" applyFont="1" applyFill="1" applyBorder="1" applyAlignment="1">
      <alignment horizontal="center"/>
    </xf>
    <xf numFmtId="11" fontId="6" fillId="4" borderId="1" xfId="0" applyNumberFormat="1" applyFont="1" applyFill="1" applyBorder="1" applyAlignment="1">
      <alignment horizontal="center"/>
    </xf>
    <xf numFmtId="1" fontId="6" fillId="4" borderId="1" xfId="0" applyNumberFormat="1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165" fontId="6" fillId="4" borderId="1" xfId="0" applyNumberFormat="1" applyFont="1" applyFill="1" applyBorder="1" applyAlignment="1">
      <alignment horizontal="center"/>
    </xf>
    <xf numFmtId="2" fontId="7" fillId="5" borderId="1" xfId="0" applyNumberFormat="1" applyFont="1" applyFill="1" applyBorder="1" applyAlignment="1">
      <alignment horizontal="center"/>
    </xf>
    <xf numFmtId="11" fontId="7" fillId="5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indent="1"/>
    </xf>
    <xf numFmtId="10" fontId="7" fillId="5" borderId="1" xfId="0" applyNumberFormat="1" applyFont="1" applyFill="1" applyBorder="1" applyAlignment="1">
      <alignment horizontal="center"/>
    </xf>
    <xf numFmtId="166" fontId="7" fillId="5" borderId="1" xfId="0" applyNumberFormat="1" applyFont="1" applyFill="1" applyBorder="1" applyAlignment="1">
      <alignment horizontal="center"/>
    </xf>
    <xf numFmtId="166" fontId="7" fillId="6" borderId="1" xfId="0" applyNumberFormat="1" applyFont="1" applyFill="1" applyBorder="1" applyAlignment="1">
      <alignment horizontal="center"/>
    </xf>
    <xf numFmtId="0" fontId="8" fillId="0" borderId="0" xfId="0" applyFont="1"/>
    <xf numFmtId="0" fontId="9" fillId="0" borderId="0" xfId="0" applyFont="1" applyAlignment="1">
      <alignment indent="2"/>
    </xf>
    <xf numFmtId="11" fontId="7" fillId="5" borderId="0" xfId="0" applyNumberFormat="1" applyFont="1" applyFill="1" applyAlignment="1">
      <alignment horizontal="center"/>
    </xf>
    <xf numFmtId="0" fontId="10" fillId="0" borderId="0" xfId="0" applyFont="1"/>
    <xf numFmtId="167" fontId="7" fillId="5" borderId="0" xfId="0" applyNumberFormat="1" applyFont="1" applyFill="1" applyAlignment="1">
      <alignment horizontal="center"/>
    </xf>
    <xf numFmtId="168" fontId="7" fillId="5" borderId="0" xfId="0" applyNumberFormat="1" applyFont="1" applyFill="1" applyAlignment="1">
      <alignment horizontal="center"/>
    </xf>
    <xf numFmtId="0" fontId="11" fillId="0" borderId="0" xfId="0" applyFont="1"/>
    <xf numFmtId="0" fontId="5" fillId="0" borderId="0" xfId="0" applyFont="1" applyAlignment="1">
      <alignment indent="1"/>
    </xf>
    <xf numFmtId="11" fontId="7" fillId="7" borderId="0" xfId="0" applyNumberFormat="1" applyFont="1" applyFill="1" applyAlignment="1">
      <alignment horizontal="center"/>
    </xf>
    <xf numFmtId="49" fontId="12" fillId="7" borderId="0" xfId="0" applyNumberFormat="1" applyFont="1" applyFill="1" applyAlignment="1">
      <alignment horizontal="center"/>
    </xf>
    <xf numFmtId="11" fontId="7" fillId="8" borderId="0" xfId="0" applyNumberFormat="1" applyFont="1" applyFill="1" applyAlignment="1">
      <alignment horizontal="center"/>
    </xf>
    <xf numFmtId="49" fontId="11" fillId="8" borderId="0" xfId="0" applyNumberFormat="1" applyFont="1" applyFill="1" applyAlignment="1">
      <alignment horizontal="center"/>
    </xf>
    <xf numFmtId="11" fontId="7" fillId="6" borderId="0" xfId="0" applyNumberFormat="1" applyFont="1" applyFill="1" applyAlignment="1">
      <alignment horizontal="center"/>
    </xf>
    <xf numFmtId="49" fontId="13" fillId="6" borderId="0" xfId="0" applyNumberFormat="1" applyFont="1" applyFill="1" applyAlignment="1">
      <alignment horizontal="center"/>
    </xf>
    <xf numFmtId="0" fontId="14" fillId="0" borderId="0" xfId="0" applyFont="1" applyAlignment="1">
      <alignment indent="1"/>
    </xf>
    <xf numFmtId="11" fontId="7" fillId="4" borderId="0" xfId="0" applyNumberFormat="1" applyFont="1" applyFill="1" applyAlignment="1">
      <alignment horizontal="center"/>
    </xf>
    <xf numFmtId="169" fontId="7" fillId="5" borderId="0" xfId="0" applyNumberFormat="1" applyFont="1" applyFill="1" applyAlignment="1">
      <alignment horizontal="center"/>
    </xf>
    <xf numFmtId="0" fontId="9" fillId="0" borderId="0" xfId="0" applyFont="1"/>
    <xf numFmtId="0" fontId="12" fillId="0" borderId="0" xfId="0" applyFont="1"/>
    <xf numFmtId="0" fontId="15" fillId="0" borderId="0" xfId="0" applyFont="1"/>
    <xf numFmtId="11" fontId="7" fillId="10" borderId="0" xfId="0" applyNumberFormat="1" applyFont="1" applyFill="1" applyAlignment="1">
      <alignment horizontal="center"/>
    </xf>
    <xf numFmtId="0" fontId="16" fillId="0" borderId="0" xfId="0" applyFont="1" applyAlignment="1">
      <alignment indent="1"/>
    </xf>
    <xf numFmtId="0" fontId="17" fillId="0" borderId="0" xfId="0" applyFont="1" applyAlignment="1">
      <alignment indent="1"/>
    </xf>
    <xf numFmtId="0" fontId="18" fillId="0" borderId="0" xfId="0" applyFont="1" applyAlignment="1">
      <alignment indent="1"/>
    </xf>
    <xf numFmtId="0" fontId="19" fillId="0" borderId="0" xfId="0" applyFont="1" applyAlignment="1">
      <alignment indent="1"/>
    </xf>
    <xf numFmtId="0" fontId="0" fillId="0" borderId="2" xfId="0" applyBorder="1"/>
    <xf numFmtId="0" fontId="0" fillId="0" borderId="3" xfId="0" applyBorder="1"/>
    <xf numFmtId="164" fontId="7" fillId="5" borderId="1" xfId="0" applyNumberFormat="1" applyFont="1" applyFill="1" applyBorder="1" applyAlignment="1">
      <alignment horizontal="center"/>
    </xf>
    <xf numFmtId="11" fontId="7" fillId="10" borderId="1" xfId="0" applyNumberFormat="1" applyFont="1" applyFill="1" applyBorder="1" applyAlignment="1">
      <alignment horizontal="center"/>
    </xf>
    <xf numFmtId="167" fontId="7" fillId="5" borderId="1" xfId="0" applyNumberFormat="1" applyFont="1" applyFill="1" applyBorder="1" applyAlignment="1">
      <alignment horizontal="center"/>
    </xf>
    <xf numFmtId="170" fontId="7" fillId="10" borderId="1" xfId="0" applyNumberFormat="1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 vertical="center"/>
    </xf>
    <xf numFmtId="0" fontId="14" fillId="0" borderId="1" xfId="0" applyFont="1" applyBorder="1"/>
    <xf numFmtId="3" fontId="7" fillId="7" borderId="1" xfId="0" applyNumberFormat="1" applyFont="1" applyFill="1" applyBorder="1" applyAlignment="1">
      <alignment horizontal="center"/>
    </xf>
    <xf numFmtId="3" fontId="2" fillId="11" borderId="1" xfId="0" applyNumberFormat="1" applyFont="1" applyFill="1" applyBorder="1" applyAlignment="1">
      <alignment horizontal="center"/>
    </xf>
    <xf numFmtId="3" fontId="7" fillId="6" borderId="1" xfId="0" applyNumberFormat="1" applyFont="1" applyFill="1" applyBorder="1" applyAlignment="1">
      <alignment horizontal="center"/>
    </xf>
    <xf numFmtId="3" fontId="7" fillId="8" borderId="1" xfId="0" applyNumberFormat="1" applyFont="1" applyFill="1" applyBorder="1" applyAlignment="1">
      <alignment horizontal="center"/>
    </xf>
    <xf numFmtId="0" fontId="22" fillId="4" borderId="0" xfId="0" applyFont="1" applyFill="1" applyAlignment="1">
      <alignment horizontal="center" vertical="center"/>
    </xf>
    <xf numFmtId="2" fontId="6" fillId="4" borderId="0" xfId="0" applyNumberFormat="1" applyFont="1" applyFill="1" applyAlignment="1">
      <alignment horizontal="center"/>
    </xf>
    <xf numFmtId="171" fontId="7" fillId="5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2" fontId="7" fillId="5" borderId="0" xfId="0" applyNumberFormat="1" applyFont="1" applyFill="1" applyAlignment="1">
      <alignment horizontal="center"/>
    </xf>
    <xf numFmtId="164" fontId="7" fillId="5" borderId="0" xfId="0" applyNumberFormat="1" applyFont="1" applyFill="1" applyAlignment="1">
      <alignment horizontal="center"/>
    </xf>
    <xf numFmtId="0" fontId="24" fillId="0" borderId="0" xfId="0" applyFont="1"/>
    <xf numFmtId="0" fontId="25" fillId="0" borderId="0" xfId="0" applyFont="1"/>
    <xf numFmtId="164" fontId="26" fillId="10" borderId="0" xfId="0" applyNumberFormat="1" applyFont="1" applyFill="1" applyAlignment="1">
      <alignment horizontal="center"/>
    </xf>
    <xf numFmtId="0" fontId="27" fillId="0" borderId="0" xfId="0" applyFont="1"/>
    <xf numFmtId="0" fontId="2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7B2D8B"/>
      <rgbColor rgb="FFFFF2CC"/>
      <rgbColor rgb="FFD5E8D4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CC"/>
      <rgbColor rgb="FF2E75B6"/>
      <rgbColor rgb="FF33CCCC"/>
      <rgbColor rgb="FF99CC00"/>
      <rgbColor rgb="FFFFCC00"/>
      <rgbColor rgb="FFD4A017"/>
      <rgbColor rgb="FFFF6600"/>
      <rgbColor rgb="FF555555"/>
      <rgbColor rgb="FFAAAAAA"/>
      <rgbColor rgb="FF1F3864"/>
      <rgbColor rgb="FF27AE60"/>
      <rgbColor rgb="FF003300"/>
      <rgbColor rgb="FF333300"/>
      <rgbColor rgb="FFC0392B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14"/>
  <sheetViews>
    <sheetView showGridLines="0" tabSelected="1" zoomScale="125" zoomScaleNormal="100" workbookViewId="0">
      <selection activeCell="D111" sqref="D111"/>
    </sheetView>
  </sheetViews>
  <sheetFormatPr baseColWidth="10" defaultColWidth="8.6640625" defaultRowHeight="15" x14ac:dyDescent="0.2"/>
  <cols>
    <col min="1" max="1" width="1" customWidth="1"/>
    <col min="2" max="2" width="38" customWidth="1"/>
    <col min="3" max="3" width="18" customWidth="1"/>
    <col min="4" max="4" width="3" customWidth="1"/>
    <col min="5" max="5" width="18" customWidth="1"/>
    <col min="6" max="6" width="3" customWidth="1"/>
  </cols>
  <sheetData>
    <row r="1" spans="2:5" ht="30" customHeight="1" x14ac:dyDescent="0.2">
      <c r="B1" s="10" t="s">
        <v>0</v>
      </c>
      <c r="C1" s="10"/>
      <c r="D1" s="10"/>
      <c r="E1" s="10"/>
    </row>
    <row r="2" spans="2:5" ht="18" customHeight="1" x14ac:dyDescent="0.2">
      <c r="B2" s="9" t="s">
        <v>1</v>
      </c>
      <c r="C2" s="9"/>
      <c r="D2" s="9"/>
      <c r="E2" s="9"/>
    </row>
    <row r="4" spans="2:5" ht="15" customHeight="1" x14ac:dyDescent="0.2">
      <c r="B4" s="11" t="s">
        <v>2</v>
      </c>
      <c r="C4" s="11" t="s">
        <v>3</v>
      </c>
      <c r="D4" s="11"/>
      <c r="E4" s="11"/>
    </row>
    <row r="5" spans="2:5" ht="15.75" customHeight="1" x14ac:dyDescent="0.2">
      <c r="B5" s="12" t="s">
        <v>4</v>
      </c>
      <c r="C5" s="13"/>
      <c r="D5" s="13"/>
      <c r="E5" s="13"/>
    </row>
    <row r="6" spans="2:5" ht="15.75" customHeight="1" x14ac:dyDescent="0.2">
      <c r="B6" s="14" t="s">
        <v>5</v>
      </c>
      <c r="C6" s="15">
        <v>0.5</v>
      </c>
      <c r="D6" s="13"/>
      <c r="E6" s="13"/>
    </row>
    <row r="7" spans="2:5" ht="15.75" customHeight="1" x14ac:dyDescent="0.2">
      <c r="B7" s="14" t="s">
        <v>6</v>
      </c>
      <c r="C7" s="15">
        <v>0.1</v>
      </c>
      <c r="D7" s="13"/>
      <c r="E7" s="13"/>
    </row>
    <row r="8" spans="2:5" ht="15.75" customHeight="1" x14ac:dyDescent="0.2">
      <c r="B8" s="14" t="s">
        <v>7</v>
      </c>
      <c r="C8" s="15">
        <v>0.5</v>
      </c>
      <c r="D8" s="13"/>
      <c r="E8" s="13"/>
    </row>
    <row r="9" spans="2:5" ht="15.75" customHeight="1" x14ac:dyDescent="0.2">
      <c r="B9" s="14" t="s">
        <v>8</v>
      </c>
      <c r="C9" s="15">
        <v>0.9</v>
      </c>
      <c r="D9" s="13"/>
      <c r="E9" s="13"/>
    </row>
    <row r="10" spans="2:5" ht="15.75" customHeight="1" x14ac:dyDescent="0.2">
      <c r="B10" s="14" t="s">
        <v>9</v>
      </c>
      <c r="C10" s="16">
        <v>10000000</v>
      </c>
      <c r="D10" s="13"/>
      <c r="E10" s="13"/>
    </row>
    <row r="11" spans="2:5" ht="15.75" customHeight="1" x14ac:dyDescent="0.2">
      <c r="B11" s="14" t="s">
        <v>10</v>
      </c>
      <c r="C11" s="16">
        <v>1.0000000000000001E-9</v>
      </c>
      <c r="D11" s="13"/>
      <c r="E11" s="13"/>
    </row>
    <row r="12" spans="2:5" ht="15.75" customHeight="1" x14ac:dyDescent="0.2">
      <c r="B12" s="14" t="s">
        <v>11</v>
      </c>
      <c r="C12" s="16">
        <v>1.0000000000000001E-15</v>
      </c>
      <c r="D12" s="13"/>
      <c r="E12" s="13"/>
    </row>
    <row r="13" spans="2:5" ht="15.75" customHeight="1" x14ac:dyDescent="0.2">
      <c r="B13" s="14" t="s">
        <v>12</v>
      </c>
      <c r="C13" s="15">
        <v>1.1599999999999999</v>
      </c>
      <c r="D13" s="13"/>
      <c r="E13" s="13"/>
    </row>
    <row r="14" spans="2:5" ht="15.75" customHeight="1" x14ac:dyDescent="0.2">
      <c r="B14" s="14" t="s">
        <v>13</v>
      </c>
      <c r="C14" s="17">
        <v>19</v>
      </c>
      <c r="D14" s="13"/>
      <c r="E14" s="13"/>
    </row>
    <row r="15" spans="2:5" ht="15.75" customHeight="1" x14ac:dyDescent="0.2">
      <c r="B15" s="12" t="s">
        <v>14</v>
      </c>
      <c r="C15" s="13"/>
      <c r="D15" s="13"/>
      <c r="E15" s="13"/>
    </row>
    <row r="16" spans="2:5" ht="15.75" customHeight="1" x14ac:dyDescent="0.2">
      <c r="B16" s="14" t="s">
        <v>15</v>
      </c>
      <c r="C16" s="15">
        <v>0.15</v>
      </c>
      <c r="D16" s="13"/>
      <c r="E16" s="13"/>
    </row>
    <row r="17" spans="2:5" ht="15.75" customHeight="1" x14ac:dyDescent="0.2">
      <c r="B17" s="14" t="s">
        <v>16</v>
      </c>
      <c r="C17" s="16">
        <v>5.9999999999999997E-7</v>
      </c>
      <c r="D17" s="13"/>
      <c r="E17" s="13"/>
    </row>
    <row r="18" spans="2:5" ht="15.75" customHeight="1" x14ac:dyDescent="0.2">
      <c r="B18" s="14" t="s">
        <v>17</v>
      </c>
      <c r="C18" s="17">
        <v>80</v>
      </c>
      <c r="D18" s="13"/>
      <c r="E18" s="13"/>
    </row>
    <row r="19" spans="2:5" ht="15.75" customHeight="1" x14ac:dyDescent="0.2">
      <c r="B19" s="14" t="s">
        <v>18</v>
      </c>
      <c r="C19" s="18">
        <v>10</v>
      </c>
      <c r="D19" s="13"/>
      <c r="E19" s="13"/>
    </row>
    <row r="20" spans="2:5" ht="15.75" customHeight="1" x14ac:dyDescent="0.2">
      <c r="B20" s="14" t="s">
        <v>19</v>
      </c>
      <c r="C20" s="18">
        <v>25</v>
      </c>
      <c r="D20" s="13"/>
      <c r="E20" s="13"/>
    </row>
    <row r="21" spans="2:5" ht="15.75" customHeight="1" x14ac:dyDescent="0.2">
      <c r="B21" s="14" t="s">
        <v>20</v>
      </c>
      <c r="C21" s="19">
        <v>0.01</v>
      </c>
      <c r="D21" s="13"/>
      <c r="E21" s="13"/>
    </row>
    <row r="22" spans="2:5" ht="15" customHeight="1" x14ac:dyDescent="0.2">
      <c r="B22" s="13"/>
      <c r="C22" s="13"/>
      <c r="D22" s="13"/>
      <c r="E22" s="13"/>
    </row>
    <row r="23" spans="2:5" ht="15" customHeight="1" x14ac:dyDescent="0.2">
      <c r="B23" s="12" t="s">
        <v>21</v>
      </c>
      <c r="C23" s="13"/>
      <c r="D23" s="13"/>
      <c r="E23" s="13"/>
    </row>
    <row r="24" spans="2:5" ht="15" customHeight="1" x14ac:dyDescent="0.2">
      <c r="B24" s="14" t="s">
        <v>22</v>
      </c>
      <c r="C24" s="20">
        <f>1-C9</f>
        <v>9.9999999999999978E-2</v>
      </c>
      <c r="D24" s="13"/>
      <c r="E24" s="13"/>
    </row>
    <row r="25" spans="2:5" ht="15" customHeight="1" x14ac:dyDescent="0.2">
      <c r="B25" s="14" t="s">
        <v>23</v>
      </c>
      <c r="C25" s="21">
        <f>C11/C14</f>
        <v>5.2631578947368427E-11</v>
      </c>
      <c r="D25" s="13"/>
      <c r="E25" s="13"/>
    </row>
    <row r="26" spans="2:5" ht="15" customHeight="1" x14ac:dyDescent="0.2">
      <c r="B26" s="14" t="s">
        <v>24</v>
      </c>
      <c r="C26" s="21">
        <f>10^(-C20/10)</f>
        <v>3.1622776601683764E-3</v>
      </c>
      <c r="D26" s="13"/>
      <c r="E26" s="13"/>
    </row>
    <row r="27" spans="2:5" ht="15" customHeight="1" x14ac:dyDescent="0.2">
      <c r="B27" s="13"/>
      <c r="C27" s="13"/>
      <c r="D27" s="13"/>
      <c r="E27" s="13"/>
    </row>
    <row r="28" spans="2:5" ht="18" customHeight="1" x14ac:dyDescent="0.2">
      <c r="B28" s="8" t="s">
        <v>25</v>
      </c>
      <c r="C28" s="8"/>
      <c r="D28" s="8"/>
      <c r="E28" s="8"/>
    </row>
    <row r="29" spans="2:5" ht="15" customHeight="1" x14ac:dyDescent="0.2">
      <c r="B29" s="22" t="s">
        <v>26</v>
      </c>
      <c r="C29" s="21">
        <f>1-EXP(-C6*C26)+C17</f>
        <v>1.5804894886317471E-3</v>
      </c>
      <c r="D29" s="13"/>
      <c r="E29" s="13"/>
    </row>
    <row r="30" spans="2:5" ht="15" customHeight="1" x14ac:dyDescent="0.2">
      <c r="B30" s="22" t="s">
        <v>27</v>
      </c>
      <c r="C30" s="21">
        <f>1-EXP(-C7*C26)+C17</f>
        <v>3.167777712868963E-4</v>
      </c>
      <c r="D30" s="13"/>
      <c r="E30" s="13"/>
    </row>
    <row r="31" spans="2:5" ht="15" customHeight="1" x14ac:dyDescent="0.2">
      <c r="B31" s="22" t="s">
        <v>28</v>
      </c>
      <c r="C31" s="21">
        <f>C8*C29+C8*C30</f>
        <v>9.4863362995932163E-4</v>
      </c>
      <c r="D31" s="13"/>
      <c r="E31" s="13"/>
    </row>
    <row r="32" spans="2:5" ht="15" customHeight="1" x14ac:dyDescent="0.2">
      <c r="B32" s="13"/>
      <c r="C32" s="13"/>
      <c r="D32" s="13"/>
      <c r="E32" s="13"/>
    </row>
    <row r="33" spans="2:5" ht="18" customHeight="1" x14ac:dyDescent="0.2">
      <c r="B33" s="8" t="s">
        <v>29</v>
      </c>
      <c r="C33" s="8"/>
      <c r="D33" s="8"/>
      <c r="E33" s="8"/>
    </row>
    <row r="34" spans="2:5" ht="15" customHeight="1" x14ac:dyDescent="0.2">
      <c r="B34" s="22" t="s">
        <v>30</v>
      </c>
      <c r="C34" s="21">
        <f>C10*C8*C29/C31</f>
        <v>8330347.1367524676</v>
      </c>
      <c r="D34" s="13"/>
      <c r="E34" s="13"/>
    </row>
    <row r="35" spans="2:5" ht="15" customHeight="1" x14ac:dyDescent="0.2">
      <c r="B35" s="22" t="s">
        <v>31</v>
      </c>
      <c r="C35" s="21">
        <f>C10*C8*C30/C31</f>
        <v>1669652.8632475324</v>
      </c>
      <c r="D35" s="13"/>
      <c r="E35" s="13"/>
    </row>
    <row r="36" spans="2:5" ht="15" customHeight="1" x14ac:dyDescent="0.2">
      <c r="B36" s="22" t="s">
        <v>32</v>
      </c>
      <c r="C36" s="21">
        <f>C10*(C24/C9)^2</f>
        <v>123456.79012345671</v>
      </c>
      <c r="D36" s="13"/>
      <c r="E36" s="13"/>
    </row>
    <row r="37" spans="2:5" ht="15" customHeight="1" x14ac:dyDescent="0.2">
      <c r="B37" s="22" t="s">
        <v>33</v>
      </c>
      <c r="C37" s="21">
        <f>C36*C8*C29/C31</f>
        <v>102843.7918117588</v>
      </c>
      <c r="D37" s="13"/>
      <c r="E37" s="13"/>
    </row>
    <row r="38" spans="2:5" ht="15" customHeight="1" x14ac:dyDescent="0.2">
      <c r="B38" s="22" t="s">
        <v>34</v>
      </c>
      <c r="C38" s="21">
        <f>C36*C8*C30/C31</f>
        <v>20612.998311697917</v>
      </c>
      <c r="D38" s="13"/>
      <c r="E38" s="13"/>
    </row>
    <row r="39" spans="2:5" ht="15" customHeight="1" x14ac:dyDescent="0.2">
      <c r="B39" s="13"/>
      <c r="C39" s="13"/>
      <c r="D39" s="13"/>
      <c r="E39" s="13"/>
    </row>
    <row r="40" spans="2:5" ht="18" customHeight="1" x14ac:dyDescent="0.2">
      <c r="B40" s="8" t="s">
        <v>35</v>
      </c>
      <c r="C40" s="8"/>
      <c r="D40" s="8"/>
      <c r="E40" s="8"/>
    </row>
    <row r="41" spans="2:5" ht="15" customHeight="1" x14ac:dyDescent="0.2">
      <c r="B41" s="22" t="s">
        <v>36</v>
      </c>
      <c r="C41" s="23">
        <f>((1-EXP(-C6*C26))*C21+C17/2)/C29</f>
        <v>1.0186018320346135E-2</v>
      </c>
      <c r="D41" s="13"/>
      <c r="E41" s="13"/>
    </row>
    <row r="42" spans="2:5" ht="15" customHeight="1" x14ac:dyDescent="0.2">
      <c r="B42" s="22" t="s">
        <v>37</v>
      </c>
      <c r="C42" s="23">
        <f>((1-EXP(-C7*C26))*C21+C17/2)/C30</f>
        <v>1.0928095424137993E-2</v>
      </c>
      <c r="D42" s="13"/>
      <c r="E42" s="13"/>
    </row>
    <row r="43" spans="2:5" ht="15" customHeight="1" x14ac:dyDescent="0.2">
      <c r="B43" s="22" t="s">
        <v>38</v>
      </c>
      <c r="C43" s="21">
        <f>C37*C41</f>
        <v>1047.568747528439</v>
      </c>
      <c r="D43" s="13"/>
      <c r="E43" s="13"/>
    </row>
    <row r="44" spans="2:5" ht="15" customHeight="1" x14ac:dyDescent="0.2">
      <c r="B44" s="22" t="s">
        <v>39</v>
      </c>
      <c r="C44" s="21">
        <f>C38*C42</f>
        <v>225.26081252783015</v>
      </c>
      <c r="D44" s="13"/>
      <c r="E44" s="13"/>
    </row>
    <row r="45" spans="2:5" ht="15" customHeight="1" x14ac:dyDescent="0.2">
      <c r="B45" s="22" t="s">
        <v>40</v>
      </c>
      <c r="C45" s="21">
        <f>C43+C44</f>
        <v>1272.8295600562692</v>
      </c>
      <c r="D45" s="13"/>
      <c r="E45" s="13"/>
    </row>
    <row r="46" spans="2:5" ht="15" customHeight="1" x14ac:dyDescent="0.2">
      <c r="B46" s="22" t="s">
        <v>41</v>
      </c>
      <c r="C46" s="21">
        <f>C35*C42</f>
        <v>18246.125814754258</v>
      </c>
      <c r="D46" s="13"/>
      <c r="E46" s="13"/>
    </row>
    <row r="47" spans="2:5" ht="15" customHeight="1" x14ac:dyDescent="0.2">
      <c r="B47" s="22" t="s">
        <v>42</v>
      </c>
      <c r="C47" s="21">
        <f>C34*C41+C35*C42</f>
        <v>103099.19436455786</v>
      </c>
      <c r="D47" s="13"/>
      <c r="E47" s="13"/>
    </row>
    <row r="48" spans="2:5" ht="15" customHeight="1" x14ac:dyDescent="0.2">
      <c r="B48" s="22" t="s">
        <v>43</v>
      </c>
      <c r="C48" s="23">
        <f>C47/C10</f>
        <v>1.0309919436455785E-2</v>
      </c>
      <c r="D48" s="13"/>
      <c r="E48" s="13"/>
    </row>
    <row r="49" spans="2:5" ht="15" customHeight="1" x14ac:dyDescent="0.2">
      <c r="B49" s="13"/>
      <c r="C49" s="13"/>
      <c r="D49" s="13"/>
      <c r="E49" s="13"/>
    </row>
    <row r="50" spans="2:5" ht="18" customHeight="1" x14ac:dyDescent="0.2">
      <c r="B50" s="8" t="s">
        <v>44</v>
      </c>
      <c r="C50" s="8"/>
      <c r="D50" s="8"/>
      <c r="E50" s="8"/>
    </row>
    <row r="51" spans="2:5" ht="15" customHeight="1" x14ac:dyDescent="0.2">
      <c r="B51" s="22" t="s">
        <v>45</v>
      </c>
      <c r="C51" s="21">
        <f>SQRT(C10/2*LN(1/C25))</f>
        <v>10878.351165528913</v>
      </c>
      <c r="D51" s="13"/>
      <c r="E51" s="13"/>
    </row>
    <row r="52" spans="2:5" ht="15" customHeight="1" x14ac:dyDescent="0.2">
      <c r="B52" s="22" t="s">
        <v>46</v>
      </c>
      <c r="C52" s="21">
        <f>SQRT(C36/2*LN(1/C25))</f>
        <v>1208.7056850587678</v>
      </c>
      <c r="D52" s="13"/>
      <c r="E52" s="13"/>
    </row>
    <row r="53" spans="2:5" ht="15" customHeight="1" x14ac:dyDescent="0.2">
      <c r="B53" s="22" t="s">
        <v>47</v>
      </c>
      <c r="C53" s="21">
        <f>IF(C45&gt;0,SQRT(C45/2*LN(1/C25)),0)</f>
        <v>122.72928401289272</v>
      </c>
      <c r="D53" s="13"/>
      <c r="E53" s="13"/>
    </row>
    <row r="54" spans="2:5" ht="15" customHeight="1" x14ac:dyDescent="0.2">
      <c r="B54" s="22" t="s">
        <v>48</v>
      </c>
      <c r="C54" s="21">
        <f>IF(C47&gt;0,SQRT(C47/2*LN(1/C25)),0)</f>
        <v>1104.5635561160348</v>
      </c>
      <c r="D54" s="13"/>
      <c r="E54" s="13"/>
    </row>
    <row r="55" spans="2:5" ht="15" customHeight="1" x14ac:dyDescent="0.2">
      <c r="B55" s="13"/>
      <c r="C55" s="13"/>
      <c r="D55" s="13"/>
      <c r="E55" s="13"/>
    </row>
    <row r="56" spans="2:5" ht="18" customHeight="1" x14ac:dyDescent="0.2">
      <c r="B56" s="8" t="s">
        <v>49</v>
      </c>
      <c r="C56" s="8"/>
      <c r="D56" s="8"/>
      <c r="E56" s="8"/>
    </row>
    <row r="57" spans="2:5" ht="15" customHeight="1" x14ac:dyDescent="0.2">
      <c r="B57" s="22" t="s">
        <v>50</v>
      </c>
      <c r="C57" s="24">
        <f>C8*EXP(-C6)+C8*EXP(-C7)</f>
        <v>0.75568403887429647</v>
      </c>
      <c r="D57" s="13"/>
      <c r="E57" s="13"/>
    </row>
    <row r="58" spans="2:5" ht="15" customHeight="1" x14ac:dyDescent="0.2">
      <c r="B58" s="22" t="s">
        <v>51</v>
      </c>
      <c r="C58" s="24">
        <f>C8*EXP(-C6)*C6+C8*EXP(-C7)*C7</f>
        <v>0.19687453582995634</v>
      </c>
      <c r="D58" s="13"/>
      <c r="E58" s="13"/>
    </row>
    <row r="59" spans="2:5" ht="15" customHeight="1" x14ac:dyDescent="0.2">
      <c r="B59" s="13"/>
      <c r="C59" s="13"/>
      <c r="D59" s="13"/>
      <c r="E59" s="13"/>
    </row>
    <row r="60" spans="2:5" ht="18" customHeight="1" x14ac:dyDescent="0.2">
      <c r="B60" s="8" t="s">
        <v>52</v>
      </c>
      <c r="C60" s="8"/>
      <c r="D60" s="8"/>
      <c r="E60" s="8"/>
    </row>
    <row r="61" spans="2:5" ht="15" customHeight="1" x14ac:dyDescent="0.2">
      <c r="B61" s="22" t="s">
        <v>53</v>
      </c>
      <c r="C61" s="21">
        <f>(EXP(C6)/C8)*(C43+C53)</f>
        <v>3858.9905153213663</v>
      </c>
      <c r="D61" s="13"/>
      <c r="E61" s="13"/>
    </row>
    <row r="62" spans="2:5" ht="15" customHeight="1" x14ac:dyDescent="0.2">
      <c r="B62" s="22" t="s">
        <v>54</v>
      </c>
      <c r="C62" s="21">
        <f>(EXP(C7)/C8)*(C44-C53)</f>
        <v>226.62972700110572</v>
      </c>
      <c r="D62" s="13"/>
      <c r="E62" s="13"/>
    </row>
    <row r="63" spans="2:5" ht="15" customHeight="1" x14ac:dyDescent="0.2">
      <c r="B63" s="22" t="s">
        <v>55</v>
      </c>
      <c r="C63" s="21">
        <f>MAX(C58/(C6-C7)*(C61-C62),0)</f>
        <v>1787.7983604187139</v>
      </c>
      <c r="D63" s="13"/>
      <c r="E63" s="13"/>
    </row>
    <row r="64" spans="2:5" ht="15" customHeight="1" x14ac:dyDescent="0.2">
      <c r="B64" s="13"/>
      <c r="C64" s="13"/>
      <c r="D64" s="13"/>
      <c r="E64" s="13"/>
    </row>
    <row r="65" spans="2:5" ht="18" customHeight="1" x14ac:dyDescent="0.2">
      <c r="B65" s="8" t="s">
        <v>56</v>
      </c>
      <c r="C65" s="8"/>
      <c r="D65" s="8"/>
      <c r="E65" s="8"/>
    </row>
    <row r="66" spans="2:5" ht="15" customHeight="1" x14ac:dyDescent="0.2">
      <c r="B66" s="22" t="s">
        <v>57</v>
      </c>
      <c r="C66" s="21">
        <f>2*(C57*(EXP(C7)/C8)*(C46+C54)+C51)</f>
        <v>86400.391052604667</v>
      </c>
      <c r="D66" s="13"/>
      <c r="E66" s="13"/>
    </row>
    <row r="67" spans="2:5" ht="15" customHeight="1" x14ac:dyDescent="0.2">
      <c r="B67" s="22" t="s">
        <v>58</v>
      </c>
      <c r="C67" s="21">
        <f>MAX(C58*C6/(C7*(C6-C7))*((EXP(C7)/C8)*(C35-C51)-(C7/C6)^2*(EXP(C6)/C8)*(C34+C51)-(C6^2-C7^2)/C6^2*(C66/C57)),0)</f>
        <v>6045302.2780385464</v>
      </c>
      <c r="D67" s="13"/>
      <c r="E67" s="13"/>
    </row>
    <row r="68" spans="2:5" ht="15" customHeight="1" x14ac:dyDescent="0.2">
      <c r="B68" s="22" t="s">
        <v>59</v>
      </c>
      <c r="C68" s="21">
        <f>2*(C57*(EXP(C7)/C8)*(C38*C42+C53)+C52)</f>
        <v>3579.9210382652291</v>
      </c>
      <c r="D68" s="13"/>
      <c r="E68" s="13"/>
    </row>
    <row r="69" spans="2:5" ht="15" customHeight="1" x14ac:dyDescent="0.2">
      <c r="B69" s="22" t="s">
        <v>60</v>
      </c>
      <c r="C69" s="21">
        <f>MAX(C58*C6/(C7*(C6-C7))*((EXP(C7)/C8)*(C38-C52)-(C7/C6)^2*(EXP(C6)/C8)*(C37+C52)-(C6^2-C7^2)/C6^2*(C68/C57)),0)</f>
        <v>60583.222279988266</v>
      </c>
      <c r="D69" s="13"/>
      <c r="E69" s="13"/>
    </row>
    <row r="70" spans="2:5" ht="15" customHeight="1" x14ac:dyDescent="0.2">
      <c r="B70" s="13"/>
      <c r="C70" s="13"/>
      <c r="D70" s="13"/>
      <c r="E70" s="13"/>
    </row>
    <row r="71" spans="2:5" ht="18" customHeight="1" x14ac:dyDescent="0.2">
      <c r="B71" s="8" t="s">
        <v>61</v>
      </c>
      <c r="C71" s="8"/>
      <c r="D71" s="8"/>
      <c r="E71" s="8"/>
    </row>
    <row r="72" spans="2:5" ht="15" customHeight="1" x14ac:dyDescent="0.2">
      <c r="B72" s="22" t="s">
        <v>62</v>
      </c>
      <c r="C72" s="24">
        <f>IF(C69&gt;0,MIN(C63/C69,0.5),0.5)</f>
        <v>2.9509793192516537E-2</v>
      </c>
      <c r="D72" s="13"/>
      <c r="E72" s="13"/>
    </row>
    <row r="73" spans="2:5" ht="15" customHeight="1" x14ac:dyDescent="0.2">
      <c r="B73" s="22" t="s">
        <v>63</v>
      </c>
      <c r="C73" s="24">
        <f>IF(AND(C72&gt;0,C72&lt;0.5,C67&gt;0,C69&gt;0),SQRT((C67+C69)*(1-C72)*C72/(C67*C69*LN(2))*LOG((C67+C69)/(C67*C69*(1-C72)*C72)*(C14/C11)^2,2)),0)</f>
        <v>6.2958709239921192E-3</v>
      </c>
      <c r="D73" s="13"/>
      <c r="E73" s="13"/>
    </row>
    <row r="74" spans="2:5" ht="15" customHeight="1" x14ac:dyDescent="0.2">
      <c r="B74" s="22" t="s">
        <v>64</v>
      </c>
      <c r="C74" s="25">
        <f>MIN(C72+C73,0.5)</f>
        <v>3.5805664116508658E-2</v>
      </c>
      <c r="D74" s="13"/>
      <c r="E74" s="13"/>
    </row>
    <row r="75" spans="2:5" ht="15" customHeight="1" x14ac:dyDescent="0.2">
      <c r="B75" s="22" t="s">
        <v>65</v>
      </c>
      <c r="C75" s="24">
        <f>IF(OR(C74&lt;=0,C74&gt;=1),0,-C74*LOG(C74,2)-(1-C74)*LOG(1-C74,2))</f>
        <v>0.22271914995419623</v>
      </c>
      <c r="D75" s="13"/>
      <c r="E75" s="13"/>
    </row>
    <row r="76" spans="2:5" ht="15" customHeight="1" x14ac:dyDescent="0.2">
      <c r="B76" s="22" t="s">
        <v>66</v>
      </c>
      <c r="C76" s="24">
        <f>1-C75</f>
        <v>0.77728085004580372</v>
      </c>
      <c r="D76" s="13"/>
      <c r="E76" s="13"/>
    </row>
    <row r="77" spans="2:5" ht="18" customHeight="1" x14ac:dyDescent="0.2">
      <c r="B77" s="7" t="s">
        <v>67</v>
      </c>
      <c r="C77" s="7"/>
      <c r="D77" s="7"/>
      <c r="E77" s="7"/>
    </row>
    <row r="78" spans="2:5" ht="18" customHeight="1" x14ac:dyDescent="0.2">
      <c r="B78" s="6" t="s">
        <v>68</v>
      </c>
      <c r="C78" s="6"/>
      <c r="D78" s="6"/>
      <c r="E78" s="6"/>
    </row>
    <row r="79" spans="2:5" ht="15.75" customHeight="1" x14ac:dyDescent="0.2">
      <c r="B79" s="27" t="s">
        <v>69</v>
      </c>
      <c r="C79" s="28">
        <f>C35</f>
        <v>1669652.8632475324</v>
      </c>
      <c r="D79" s="29" t="s">
        <v>70</v>
      </c>
    </row>
    <row r="80" spans="2:5" ht="15.75" customHeight="1" x14ac:dyDescent="0.2">
      <c r="B80" s="27" t="s">
        <v>71</v>
      </c>
      <c r="C80" s="28">
        <f>C35-C51</f>
        <v>1658774.5120820035</v>
      </c>
    </row>
    <row r="81" spans="2:5" ht="15.75" customHeight="1" x14ac:dyDescent="0.2">
      <c r="B81" s="27" t="s">
        <v>72</v>
      </c>
      <c r="C81" s="30">
        <f>EXP(C7)/C8</f>
        <v>2.2103418361512954</v>
      </c>
      <c r="D81" s="29" t="s">
        <v>73</v>
      </c>
    </row>
    <row r="82" spans="2:5" ht="15.75" customHeight="1" x14ac:dyDescent="0.2">
      <c r="B82" s="27" t="s">
        <v>74</v>
      </c>
      <c r="C82" s="28">
        <f>C34</f>
        <v>8330347.1367524676</v>
      </c>
      <c r="D82" s="29" t="s">
        <v>75</v>
      </c>
    </row>
    <row r="83" spans="2:5" ht="15.75" customHeight="1" x14ac:dyDescent="0.2">
      <c r="B83" s="27" t="s">
        <v>76</v>
      </c>
      <c r="C83" s="31">
        <f>(C7/C6)^2</f>
        <v>4.0000000000000008E-2</v>
      </c>
      <c r="D83" s="32" t="s">
        <v>77</v>
      </c>
    </row>
    <row r="84" spans="2:5" ht="3.75" customHeight="1" x14ac:dyDescent="0.2"/>
    <row r="85" spans="2:5" ht="15" customHeight="1" x14ac:dyDescent="0.2">
      <c r="B85" s="33" t="s">
        <v>78</v>
      </c>
      <c r="C85" s="34">
        <f>(EXP(C7)/C8)*(C35-C51)</f>
        <v>3666458.7007963047</v>
      </c>
      <c r="D85" s="35" t="s">
        <v>79</v>
      </c>
    </row>
    <row r="86" spans="2:5" ht="15" customHeight="1" x14ac:dyDescent="0.2">
      <c r="B86" s="33" t="s">
        <v>80</v>
      </c>
      <c r="C86" s="36">
        <f>-(C7/C6)^2*(EXP(C6)/C8)*(C34+C51)</f>
        <v>1100188.4708509168</v>
      </c>
      <c r="D86" s="37" t="s">
        <v>81</v>
      </c>
    </row>
    <row r="87" spans="2:5" ht="15" customHeight="1" x14ac:dyDescent="0.2">
      <c r="B87" s="33" t="s">
        <v>82</v>
      </c>
      <c r="C87" s="38">
        <f>-(C6^2-C7^2)/C6^2*(C66/C57)</f>
        <v>-109760.65543750061</v>
      </c>
      <c r="D87" s="39" t="s">
        <v>83</v>
      </c>
    </row>
    <row r="88" spans="2:5" ht="15" customHeight="1" x14ac:dyDescent="0.2">
      <c r="B88" s="40" t="s">
        <v>84</v>
      </c>
      <c r="C88" s="41">
        <f>(EXP(C7)/C8)*(C35-C51)-(C7/C6)^2*(EXP(C6)/C8)*(C34+C51)-(C6^2-C7^2)/C6^2*(C66/C57)</f>
        <v>2456509.574507887</v>
      </c>
    </row>
    <row r="89" spans="2:5" ht="15" customHeight="1" x14ac:dyDescent="0.2">
      <c r="B89" s="33" t="s">
        <v>85</v>
      </c>
      <c r="C89" s="42">
        <f>ABS((EXP(C7)/C8)*(C35-C51)) / ABS((C7/C6)^2*(EXP(C6)/C8)*(C34+C51))</f>
        <v>3.3325732798859109</v>
      </c>
    </row>
    <row r="90" spans="2:5" ht="15" customHeight="1" x14ac:dyDescent="0.2">
      <c r="B90" s="43" t="s">
        <v>86</v>
      </c>
    </row>
    <row r="91" spans="2:5" ht="15" customHeight="1" x14ac:dyDescent="0.2">
      <c r="B91" s="43" t="s">
        <v>87</v>
      </c>
    </row>
    <row r="92" spans="2:5" ht="15" customHeight="1" x14ac:dyDescent="0.2"/>
    <row r="93" spans="2:5" ht="15" customHeight="1" x14ac:dyDescent="0.2"/>
    <row r="94" spans="2:5" ht="15" customHeight="1" x14ac:dyDescent="0.2">
      <c r="B94" s="13"/>
      <c r="C94" s="13"/>
      <c r="D94" s="13"/>
      <c r="E94" s="13"/>
    </row>
    <row r="95" spans="2:5" ht="18" customHeight="1" x14ac:dyDescent="0.2">
      <c r="B95" s="5" t="s">
        <v>88</v>
      </c>
      <c r="C95" s="5"/>
      <c r="D95" s="5"/>
      <c r="E95" s="5"/>
    </row>
    <row r="96" spans="2:5" ht="15" customHeight="1" x14ac:dyDescent="0.2">
      <c r="B96" s="26" t="s">
        <v>89</v>
      </c>
    </row>
    <row r="97" spans="2:5" ht="15" customHeight="1" x14ac:dyDescent="0.2">
      <c r="B97" s="33" t="s">
        <v>90</v>
      </c>
      <c r="C97" s="34">
        <f>C6*(C35-C51)</f>
        <v>829387.25604100176</v>
      </c>
      <c r="D97" s="44" t="s">
        <v>91</v>
      </c>
    </row>
    <row r="98" spans="2:5" ht="15" customHeight="1" x14ac:dyDescent="0.2">
      <c r="B98" s="33" t="s">
        <v>92</v>
      </c>
      <c r="C98" s="36">
        <f>C7*(C34+C51)</f>
        <v>834122.54879179969</v>
      </c>
      <c r="D98" s="32" t="s">
        <v>93</v>
      </c>
    </row>
    <row r="99" spans="2:5" ht="15" customHeight="1" x14ac:dyDescent="0.2">
      <c r="B99" s="40" t="s">
        <v>94</v>
      </c>
      <c r="C99" s="41">
        <f>C6*(C35-C51)-C7*(C34+C51)</f>
        <v>-4735.292750797933</v>
      </c>
      <c r="D99" s="45" t="s">
        <v>95</v>
      </c>
    </row>
    <row r="100" spans="2:5" ht="15" customHeight="1" x14ac:dyDescent="0.2">
      <c r="B100" s="40" t="s">
        <v>96</v>
      </c>
      <c r="C100" s="46">
        <f>MAX(C57/(C6-C7)*(C6*(C35-C51)-C7*(C34+C51)),0)</f>
        <v>0</v>
      </c>
    </row>
    <row r="101" spans="2:5" ht="15" customHeight="1" x14ac:dyDescent="0.2"/>
    <row r="102" spans="2:5" ht="15" customHeight="1" x14ac:dyDescent="0.2">
      <c r="B102" s="26" t="s">
        <v>97</v>
      </c>
    </row>
    <row r="103" spans="2:5" ht="15" customHeight="1" x14ac:dyDescent="0.2">
      <c r="B103" s="47" t="s">
        <v>98</v>
      </c>
    </row>
    <row r="104" spans="2:5" ht="15" customHeight="1" x14ac:dyDescent="0.2">
      <c r="B104" s="48" t="s">
        <v>99</v>
      </c>
    </row>
    <row r="105" spans="2:5" ht="15" customHeight="1" x14ac:dyDescent="0.2">
      <c r="B105" s="49" t="s">
        <v>100</v>
      </c>
    </row>
    <row r="106" spans="2:5" ht="15" customHeight="1" x14ac:dyDescent="0.2">
      <c r="B106" s="50" t="s">
        <v>101</v>
      </c>
    </row>
    <row r="107" spans="2:5" ht="15" customHeight="1" x14ac:dyDescent="0.2">
      <c r="B107" s="11" t="s">
        <v>102</v>
      </c>
      <c r="C107" s="51"/>
      <c r="D107" s="51"/>
      <c r="E107" s="52"/>
    </row>
    <row r="108" spans="2:5" ht="15" customHeight="1" x14ac:dyDescent="0.2">
      <c r="B108" s="22" t="s">
        <v>103</v>
      </c>
      <c r="C108" s="21">
        <f>C13*(-C48*LOG(C48,2)-(1-C48)*LOG(1-C48,2))*C10</f>
        <v>960952.98201261915</v>
      </c>
      <c r="D108" s="13"/>
      <c r="E108" s="13"/>
    </row>
    <row r="109" spans="2:5" ht="15" customHeight="1" x14ac:dyDescent="0.2">
      <c r="B109" s="22" t="s">
        <v>104</v>
      </c>
      <c r="C109" s="53">
        <f>6*LOG(C14/C11,2)+LOG(2/C12,2)</f>
        <v>255.70060362788954</v>
      </c>
      <c r="D109" s="13"/>
      <c r="E109" s="13"/>
    </row>
    <row r="110" spans="2:5" ht="15" customHeight="1" x14ac:dyDescent="0.2">
      <c r="B110" s="22" t="s">
        <v>105</v>
      </c>
      <c r="C110" s="21">
        <f>MAX(C57/(C6-C7)*(C6*(C35-C51)-C7*(C34+C51)),0)</f>
        <v>0</v>
      </c>
      <c r="D110" s="13"/>
      <c r="E110" s="13"/>
    </row>
    <row r="111" spans="2:5" ht="15" customHeight="1" x14ac:dyDescent="0.2">
      <c r="B111" s="22" t="s">
        <v>106</v>
      </c>
      <c r="C111" s="54">
        <f>MAX(C100+C67*C76-C108-C109,0)</f>
        <v>3737689.0108413878</v>
      </c>
      <c r="D111" s="13"/>
      <c r="E111" s="13"/>
    </row>
    <row r="112" spans="2:5" ht="15" customHeight="1" x14ac:dyDescent="0.2">
      <c r="B112" s="22" t="s">
        <v>107</v>
      </c>
      <c r="C112" s="55">
        <f>1/(1+C18*1000000*C31*C19*0.000001)</f>
        <v>0.56853492231132974</v>
      </c>
      <c r="D112" s="13"/>
      <c r="E112" s="13"/>
    </row>
    <row r="113" spans="2:5" ht="15" customHeight="1" x14ac:dyDescent="0.2">
      <c r="B113" s="22" t="s">
        <v>108</v>
      </c>
      <c r="C113" s="21">
        <f>C10/(C112*C9^2*C31)</f>
        <v>22890712877.122135</v>
      </c>
      <c r="D113" s="13"/>
      <c r="E113" s="13"/>
    </row>
    <row r="114" spans="2:5" ht="15" customHeight="1" x14ac:dyDescent="0.2">
      <c r="B114" s="22" t="s">
        <v>109</v>
      </c>
      <c r="C114" s="56">
        <f>IF(C113&gt;0,C111*C18*1000000/C113,0)</f>
        <v>13062.726463454019</v>
      </c>
      <c r="D114" s="13"/>
      <c r="E114" s="13"/>
    </row>
  </sheetData>
  <mergeCells count="13">
    <mergeCell ref="B77:E77"/>
    <mergeCell ref="B78:E78"/>
    <mergeCell ref="B95:E95"/>
    <mergeCell ref="B50:E50"/>
    <mergeCell ref="B56:E56"/>
    <mergeCell ref="B60:E60"/>
    <mergeCell ref="B65:E65"/>
    <mergeCell ref="B71:E71"/>
    <mergeCell ref="B1:E1"/>
    <mergeCell ref="B2:E2"/>
    <mergeCell ref="B28:E28"/>
    <mergeCell ref="B33:E33"/>
    <mergeCell ref="B40:E4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36"/>
  <sheetViews>
    <sheetView showGridLines="0" zoomScaleNormal="100" workbookViewId="0"/>
  </sheetViews>
  <sheetFormatPr baseColWidth="10" defaultColWidth="8.6640625" defaultRowHeight="15" x14ac:dyDescent="0.2"/>
  <cols>
    <col min="1" max="1" width="1" customWidth="1"/>
    <col min="2" max="2" width="16" customWidth="1"/>
    <col min="3" max="9" width="14" customWidth="1"/>
    <col min="10" max="10" width="1" customWidth="1"/>
  </cols>
  <sheetData>
    <row r="1" spans="2:9" ht="25.5" customHeight="1" x14ac:dyDescent="0.2">
      <c r="B1" s="4" t="s">
        <v>110</v>
      </c>
      <c r="C1" s="4"/>
      <c r="D1" s="4"/>
      <c r="E1" s="4"/>
      <c r="F1" s="4"/>
      <c r="G1" s="4"/>
      <c r="H1" s="4"/>
      <c r="I1" s="4"/>
    </row>
    <row r="2" spans="2:9" ht="15" customHeight="1" x14ac:dyDescent="0.2">
      <c r="B2" s="3" t="s">
        <v>111</v>
      </c>
      <c r="C2" s="3"/>
      <c r="D2" s="3"/>
      <c r="E2" s="3"/>
      <c r="F2" s="3"/>
      <c r="G2" s="3"/>
      <c r="H2" s="3"/>
      <c r="I2" s="3"/>
    </row>
    <row r="4" spans="2:9" ht="15" customHeight="1" x14ac:dyDescent="0.2">
      <c r="B4" s="57" t="s">
        <v>112</v>
      </c>
      <c r="C4" s="57" t="s">
        <v>113</v>
      </c>
      <c r="D4" s="57" t="s">
        <v>114</v>
      </c>
      <c r="E4" s="57" t="s">
        <v>115</v>
      </c>
      <c r="F4" s="57" t="s">
        <v>116</v>
      </c>
      <c r="G4" s="57" t="s">
        <v>117</v>
      </c>
      <c r="H4" s="57" t="s">
        <v>118</v>
      </c>
    </row>
    <row r="5" spans="2:9" ht="15.75" customHeight="1" x14ac:dyDescent="0.2">
      <c r="B5" s="58" t="s">
        <v>119</v>
      </c>
      <c r="C5" s="59">
        <v>30665</v>
      </c>
      <c r="D5" s="59">
        <v>18066</v>
      </c>
      <c r="E5" s="59">
        <v>7332</v>
      </c>
      <c r="F5" s="60">
        <v>0</v>
      </c>
      <c r="G5" s="60">
        <v>0</v>
      </c>
      <c r="H5" s="60">
        <v>0</v>
      </c>
    </row>
    <row r="6" spans="2:9" ht="15.75" customHeight="1" x14ac:dyDescent="0.2">
      <c r="B6" s="58" t="s">
        <v>120</v>
      </c>
      <c r="C6" s="59">
        <v>27287</v>
      </c>
      <c r="D6" s="59">
        <v>15711</v>
      </c>
      <c r="E6" s="59">
        <v>5859</v>
      </c>
      <c r="F6" s="60">
        <v>0</v>
      </c>
      <c r="G6" s="60">
        <v>0</v>
      </c>
      <c r="H6" s="60">
        <v>0</v>
      </c>
    </row>
    <row r="7" spans="2:9" ht="15.75" customHeight="1" x14ac:dyDescent="0.2">
      <c r="B7" s="58" t="s">
        <v>121</v>
      </c>
      <c r="C7" s="59">
        <v>21561</v>
      </c>
      <c r="D7" s="59">
        <v>12325</v>
      </c>
      <c r="E7" s="59">
        <v>4465</v>
      </c>
      <c r="F7" s="60">
        <v>0</v>
      </c>
      <c r="G7" s="60">
        <v>0</v>
      </c>
      <c r="H7" s="60">
        <v>0</v>
      </c>
    </row>
    <row r="8" spans="2:9" ht="15.75" customHeight="1" x14ac:dyDescent="0.2">
      <c r="B8" s="58" t="s">
        <v>122</v>
      </c>
      <c r="C8" s="59">
        <v>13063</v>
      </c>
      <c r="D8" s="59">
        <v>7431</v>
      </c>
      <c r="E8" s="59">
        <v>2635</v>
      </c>
      <c r="F8" s="60">
        <v>0</v>
      </c>
      <c r="G8" s="60">
        <v>0</v>
      </c>
      <c r="H8" s="60">
        <v>0</v>
      </c>
    </row>
    <row r="9" spans="2:9" ht="15.75" customHeight="1" x14ac:dyDescent="0.2">
      <c r="B9" s="58" t="s">
        <v>123</v>
      </c>
      <c r="C9" s="59">
        <v>5742</v>
      </c>
      <c r="D9" s="59">
        <v>3235</v>
      </c>
      <c r="E9" s="59">
        <v>1094</v>
      </c>
      <c r="F9" s="60">
        <v>0</v>
      </c>
      <c r="G9" s="60">
        <v>0</v>
      </c>
      <c r="H9" s="60">
        <v>0</v>
      </c>
    </row>
    <row r="10" spans="2:9" ht="15.75" customHeight="1" x14ac:dyDescent="0.2">
      <c r="B10" s="58" t="s">
        <v>124</v>
      </c>
      <c r="C10" s="59">
        <v>1972</v>
      </c>
      <c r="D10" s="59">
        <v>1079</v>
      </c>
      <c r="E10" s="61">
        <v>310</v>
      </c>
      <c r="F10" s="60">
        <v>0</v>
      </c>
      <c r="G10" s="60">
        <v>0</v>
      </c>
      <c r="H10" s="60">
        <v>0</v>
      </c>
    </row>
    <row r="11" spans="2:9" ht="15.75" customHeight="1" x14ac:dyDescent="0.2">
      <c r="B11" s="58" t="s">
        <v>125</v>
      </c>
      <c r="C11" s="61">
        <v>541</v>
      </c>
      <c r="D11" s="61">
        <v>261</v>
      </c>
      <c r="E11" s="62">
        <v>17</v>
      </c>
      <c r="F11" s="60">
        <v>0</v>
      </c>
      <c r="G11" s="60">
        <v>0</v>
      </c>
      <c r="H11" s="60">
        <v>0</v>
      </c>
    </row>
    <row r="14" spans="2:9" ht="18" customHeight="1" x14ac:dyDescent="0.2">
      <c r="B14" s="2" t="s">
        <v>126</v>
      </c>
      <c r="C14" s="2"/>
      <c r="D14" s="2"/>
      <c r="E14" s="2"/>
      <c r="F14" s="2"/>
      <c r="G14" s="2"/>
      <c r="H14" s="2"/>
      <c r="I14" s="2"/>
    </row>
    <row r="15" spans="2:9" ht="15" customHeight="1" x14ac:dyDescent="0.2">
      <c r="B15" s="3" t="s">
        <v>127</v>
      </c>
      <c r="C15" s="3"/>
      <c r="D15" s="3"/>
      <c r="E15" s="3"/>
      <c r="F15" s="3"/>
      <c r="G15" s="3"/>
      <c r="H15" s="3"/>
      <c r="I15" s="3"/>
    </row>
    <row r="17" spans="2:5" ht="15" customHeight="1" x14ac:dyDescent="0.2">
      <c r="B17" s="63" t="s">
        <v>128</v>
      </c>
      <c r="C17" s="63" t="s">
        <v>129</v>
      </c>
      <c r="D17" s="1"/>
      <c r="E17" s="1"/>
    </row>
    <row r="18" spans="2:5" ht="15" customHeight="1" x14ac:dyDescent="0.2">
      <c r="B18" s="33" t="s">
        <v>15</v>
      </c>
      <c r="C18" s="64">
        <v>0.15</v>
      </c>
    </row>
    <row r="19" spans="2:5" ht="15" customHeight="1" x14ac:dyDescent="0.2">
      <c r="B19" s="33" t="s">
        <v>130</v>
      </c>
      <c r="C19" s="64">
        <v>0.2</v>
      </c>
    </row>
    <row r="20" spans="2:5" ht="15" customHeight="1" x14ac:dyDescent="0.2">
      <c r="B20" s="33" t="s">
        <v>131</v>
      </c>
      <c r="C20" s="65">
        <f>-10*LOG(C18,10)</f>
        <v>8.2390874094431865</v>
      </c>
    </row>
    <row r="22" spans="2:5" ht="15" customHeight="1" x14ac:dyDescent="0.2">
      <c r="B22" s="63" t="s">
        <v>132</v>
      </c>
      <c r="C22" s="63" t="s">
        <v>133</v>
      </c>
      <c r="D22" s="63" t="s">
        <v>134</v>
      </c>
      <c r="E22" s="63"/>
    </row>
    <row r="23" spans="2:5" ht="15.75" customHeight="1" x14ac:dyDescent="0.2">
      <c r="B23" s="66">
        <v>10</v>
      </c>
      <c r="C23" s="67">
        <f>10-C20</f>
        <v>1.7609125905568135</v>
      </c>
      <c r="D23" s="68">
        <f>(10-C20)/C19</f>
        <v>8.8045629527840674</v>
      </c>
    </row>
    <row r="24" spans="2:5" ht="15.75" customHeight="1" x14ac:dyDescent="0.2">
      <c r="B24" s="66">
        <v>15</v>
      </c>
      <c r="C24" s="67">
        <f>15-C20</f>
        <v>6.7609125905568135</v>
      </c>
      <c r="D24" s="68">
        <f>(15-C20)/C19</f>
        <v>33.804562952784067</v>
      </c>
    </row>
    <row r="25" spans="2:5" ht="15.75" customHeight="1" x14ac:dyDescent="0.2">
      <c r="B25" s="66">
        <v>20</v>
      </c>
      <c r="C25" s="67">
        <f>20-C20</f>
        <v>11.760912590556813</v>
      </c>
      <c r="D25" s="68">
        <f>(20-C20)/C19</f>
        <v>58.804562952784067</v>
      </c>
    </row>
    <row r="26" spans="2:5" ht="15.75" customHeight="1" x14ac:dyDescent="0.2">
      <c r="B26" s="66">
        <v>25</v>
      </c>
      <c r="C26" s="67">
        <f>25-C20</f>
        <v>16.760912590556813</v>
      </c>
      <c r="D26" s="68">
        <f>(25-C20)/C19</f>
        <v>83.804562952784067</v>
      </c>
      <c r="E26" s="69" t="s">
        <v>135</v>
      </c>
    </row>
    <row r="27" spans="2:5" ht="15.75" customHeight="1" x14ac:dyDescent="0.2">
      <c r="B27" s="66">
        <v>30</v>
      </c>
      <c r="C27" s="67">
        <f>30-C20</f>
        <v>21.760912590556813</v>
      </c>
      <c r="D27" s="68">
        <f>(30-C20)/C19</f>
        <v>108.80456295278407</v>
      </c>
    </row>
    <row r="28" spans="2:5" ht="15.75" customHeight="1" x14ac:dyDescent="0.2">
      <c r="B28" s="66">
        <v>35</v>
      </c>
      <c r="C28" s="67">
        <f>35-C20</f>
        <v>26.760912590556813</v>
      </c>
      <c r="D28" s="68">
        <f>(35-C20)/C19</f>
        <v>133.80456295278407</v>
      </c>
    </row>
    <row r="29" spans="2:5" ht="15.75" customHeight="1" x14ac:dyDescent="0.2">
      <c r="B29" s="66">
        <v>40</v>
      </c>
      <c r="C29" s="67">
        <f>40-C20</f>
        <v>31.760912590556813</v>
      </c>
      <c r="D29" s="68">
        <f>(40-C20)/C19</f>
        <v>158.80456295278407</v>
      </c>
    </row>
    <row r="30" spans="2:5" ht="15.75" customHeight="1" x14ac:dyDescent="0.2">
      <c r="B30" s="66">
        <v>45</v>
      </c>
      <c r="C30" s="67">
        <f>45-C20</f>
        <v>36.760912590556813</v>
      </c>
      <c r="D30" s="68">
        <f>(45-C20)/C19</f>
        <v>183.80456295278407</v>
      </c>
      <c r="E30" s="70" t="s">
        <v>136</v>
      </c>
    </row>
    <row r="31" spans="2:5" ht="15.75" customHeight="1" x14ac:dyDescent="0.2">
      <c r="B31" s="66">
        <v>47</v>
      </c>
      <c r="C31" s="67">
        <f>47-C20</f>
        <v>38.760912590556813</v>
      </c>
      <c r="D31" s="71">
        <f>(47-C20)/C19</f>
        <v>193.80456295278407</v>
      </c>
      <c r="E31" s="72" t="s">
        <v>137</v>
      </c>
    </row>
    <row r="32" spans="2:5" ht="15.75" customHeight="1" x14ac:dyDescent="0.2">
      <c r="B32" s="66">
        <v>50</v>
      </c>
      <c r="C32" s="67">
        <f>50-C20</f>
        <v>41.760912590556813</v>
      </c>
      <c r="D32" s="68">
        <f>(50-C20)/C19</f>
        <v>208.80456295278407</v>
      </c>
    </row>
    <row r="34" spans="2:2" ht="15" customHeight="1" x14ac:dyDescent="0.2">
      <c r="B34" s="26" t="s">
        <v>138</v>
      </c>
    </row>
    <row r="35" spans="2:2" ht="15" customHeight="1" x14ac:dyDescent="0.2">
      <c r="B35" s="43" t="s">
        <v>139</v>
      </c>
    </row>
    <row r="36" spans="2:2" ht="15" customHeight="1" x14ac:dyDescent="0.2">
      <c r="B36" s="73" t="s">
        <v>140</v>
      </c>
    </row>
  </sheetData>
  <mergeCells count="5">
    <mergeCell ref="B1:I1"/>
    <mergeCell ref="B2:I2"/>
    <mergeCell ref="B14:I14"/>
    <mergeCell ref="B15:I15"/>
    <mergeCell ref="D17:E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 Error Calculation</vt:lpstr>
      <vt:lpstr>Sensitivity — e_det vs att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Ruchi THAREJA</cp:lastModifiedBy>
  <cp:revision>0</cp:revision>
  <dcterms:created xsi:type="dcterms:W3CDTF">2026-03-19T11:38:34Z</dcterms:created>
  <dcterms:modified xsi:type="dcterms:W3CDTF">2026-03-20T13:50:09Z</dcterms:modified>
  <dc:language>en-US</dc:language>
</cp:coreProperties>
</file>