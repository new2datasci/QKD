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-Decoy Phase Error" sheetId="1" state="visible" r:id="rId3"/>
    <sheet name="Sensitivity — e_det vs at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<sst xmlns="http://schemas.openxmlformats.org/spreadsheetml/2006/main" count="139" uniqueCount="139">
  <si>
    <t xml:space="preserve">2-Decoy State QKD — Phase Error φ_Z  (Step-by-Step)</t>
  </si>
  <si>
    <t xml:space="preserve">Lim et al. (2014)  ·  Eqs. (1)–(5)  [relabelled: Z=key, X=phase]</t>
  </si>
  <si>
    <t xml:space="preserve">PARAMETER</t>
  </si>
  <si>
    <t xml:space="preserve">VALUE</t>
  </si>
  <si>
    <t xml:space="preserve">── Protocol ──────────────</t>
  </si>
  <si>
    <t xml:space="preserve">μ₁  signal intensity</t>
  </si>
  <si>
    <t xml:space="preserve">μ₂  decoy intensity</t>
  </si>
  <si>
    <t xml:space="preserve">μ₃  vacuum intensity  ← NEW</t>
  </si>
  <si>
    <t xml:space="preserve">p_μ₁</t>
  </si>
  <si>
    <t xml:space="preserve">p_μ₂</t>
  </si>
  <si>
    <t xml:space="preserve">p_μ₃ = 1 − p_μ₁ − p_μ₂</t>
  </si>
  <si>
    <t xml:space="preserve">p_Z</t>
  </si>
  <si>
    <t xml:space="preserve">n_Z  block size</t>
  </si>
  <si>
    <t xml:space="preserve">ε_sec</t>
  </si>
  <si>
    <t xml:space="preserve">ε_cor</t>
  </si>
  <si>
    <t xml:space="preserve">f_EC</t>
  </si>
  <si>
    <t xml:space="preserve">K  (2-decoy = 21)</t>
  </si>
  <si>
    <t xml:space="preserve">── Hardware ─────────────</t>
  </si>
  <si>
    <t xml:space="preserve">η_Bob / global att already in η_sys</t>
  </si>
  <si>
    <t xml:space="preserve">p_dc  dark count prob/gate</t>
  </si>
  <si>
    <t xml:space="preserve">f_rep  gate rate (MHz)</t>
  </si>
  <si>
    <t xml:space="preserve">dead_time (μs)</t>
  </si>
  <si>
    <t xml:space="preserve">Global attenuation (dB)</t>
  </si>
  <si>
    <t xml:space="preserve">e_det  misalignment  ← vary</t>
  </si>
  <si>
    <t xml:space="preserve">── Derived ──────────────</t>
  </si>
  <si>
    <t xml:space="preserve">p_X = 1 − p_Z</t>
  </si>
  <si>
    <t xml:space="preserve">ε₁ = ε_sec / K</t>
  </si>
  <si>
    <t xml:space="preserve">η_sys = 10^(−att/10)</t>
  </si>
  <si>
    <t xml:space="preserve">Step 2  —  Detection Probabilities  [Rusca Eq. B2 extended to 3 intensities]</t>
  </si>
  <si>
    <t xml:space="preserve">P_det(μ₁) = 1−exp(−μ₁·η)+p_dc</t>
  </si>
  <si>
    <t xml:space="preserve">P_det(μ₂) = 1−exp(−μ₂·η)+p_dc</t>
  </si>
  <si>
    <t xml:space="preserve">P_det(μ₃) = 1−exp(−μ₃·η)+p_dc  [≈p_dc for vacuum]</t>
  </si>
  <si>
    <t xml:space="preserve">P_det_tot = p_μ₁·Pd1 + p_μ₂·Pd2 + p_μ₃·Pd3</t>
  </si>
  <si>
    <t xml:space="preserve">Step 3  —  Count Distribution  [Lim Eq. B1 extended]</t>
  </si>
  <si>
    <t xml:space="preserve">n_Z,μ₁ = n_Z·p_μ₁·P_det(μ₁)/P_det_tot</t>
  </si>
  <si>
    <t xml:space="preserve">n_Z,μ₂ = n_Z·p_μ₂·P_det(μ₂)/P_det_tot</t>
  </si>
  <si>
    <t xml:space="preserve">n_Z,μ₃ = n_Z·p_μ₃·P_det(μ₃)/P_det_tot</t>
  </si>
  <si>
    <t xml:space="preserve">n_X = n_Z·(p_X/p_Z)²  [both choose X]</t>
  </si>
  <si>
    <t xml:space="preserve">n_X,μ₁ = n_X·p_μ₁·P_det(μ₁)/P_det_tot</t>
  </si>
  <si>
    <t xml:space="preserve">n_X,μ₂ = n_X·p_μ₂·P_det(μ₂)/P_det_tot</t>
  </si>
  <si>
    <t xml:space="preserve">n_X,μ₃ = n_X·p_μ₃·P_det(μ₃)/P_det_tot</t>
  </si>
  <si>
    <t xml:space="preserve">Step 4  —  QBER and Error Counts</t>
  </si>
  <si>
    <t xml:space="preserve">E1 = [(1−exp(−μ1η))·e_det + p_dc/2] / Pd1</t>
  </si>
  <si>
    <t xml:space="preserve">E2 = [(1−exp(−μ2η))·e_det + p_dc/2] / Pd2</t>
  </si>
  <si>
    <t xml:space="preserve">E3 = [(1−exp(−μ3η))·e_det + p_dc/2] / Pd3</t>
  </si>
  <si>
    <t xml:space="preserve">m_Z,1  = n_Z,1 · E1</t>
  </si>
  <si>
    <t xml:space="preserve">m_Z,2  = n_Z,2 · E2</t>
  </si>
  <si>
    <t xml:space="preserve">m_Z,3  = n_Z,3 · E3</t>
  </si>
  <si>
    <t xml:space="preserve">m_X,1  = n_X,1 · E1</t>
  </si>
  <si>
    <t xml:space="preserve">m_X,2  = n_X,2 · E2</t>
  </si>
  <si>
    <t xml:space="preserve">m_X,3  = n_X,3 · E3</t>
  </si>
  <si>
    <t xml:space="preserve">m_Z total</t>
  </si>
  <si>
    <t xml:space="preserve">m_X total</t>
  </si>
  <si>
    <t xml:space="preserve">e_obs  (observed Z-basis QBER)</t>
  </si>
  <si>
    <t xml:space="preserve">Step 5  —  Hoeffding Corrections  δ  [Lim Supplementary Eq. 1]</t>
  </si>
  <si>
    <t xml:space="preserve">δ(n_Z) = √(n_Z/2·ln(1/ε₁))</t>
  </si>
  <si>
    <t xml:space="preserve">δ(n_X) = √(n_X/2·ln(1/ε₁))</t>
  </si>
  <si>
    <t xml:space="preserve">δ(m_X) = √(m_X/2·ln(1/ε₁))</t>
  </si>
  <si>
    <t xml:space="preserve">δ(m_Z) = √(m_Z/2·ln(1/ε₁))</t>
  </si>
  <si>
    <t xml:space="preserve">Step 6  —  τ₀ and τ₁  [now 3 intensities]</t>
  </si>
  <si>
    <t xml:space="preserve">τ₀ = p_μ₁·exp(−μ₁) + p_μ₂·exp(−μ₂) + p_μ₃·exp(−μ₃)</t>
  </si>
  <si>
    <t xml:space="preserve">τ₁ = p_μ₁·exp(−μ₁)·μ₁ + p_μ₂·exp(−μ₂)·μ₂ + p_μ₃·exp(−μ₃)·μ₃</t>
  </si>
  <si>
    <t xml:space="preserve">Step 7  —  s^l_{Z,0}  [Lim Eq. 2 — direct from vacuum]</t>
  </si>
  <si>
    <t xml:space="preserve">n⁻_{Z,μ₃} weighted = (e^μ₃/p_μ₃)·(n_Z,μ₃ − δ(n_Z))</t>
  </si>
  <si>
    <t xml:space="preserve">n⁺_{Z,μ₂} weighted = (e^μ₂/p_μ₂)·(n_Z,μ₂ + δ(n_Z))</t>
  </si>
  <si>
    <t xml:space="preserve">s^l_{Z,0} = τ₀/(μ₂−μ₃)·(μ₂·n⁻_{Z,μ₃} − μ₃·n⁺_{Z,μ₂})  [Lim Eq. 2]</t>
  </si>
  <si>
    <t xml:space="preserve">Step 8  —  s^l_{Z,1}  [Lim Eq. 3 — tighter 3-intensity bound]</t>
  </si>
  <si>
    <t xml:space="preserve">n⁻_{Z,μ₂} weighted = (e^μ₂/p_μ₂)·(n_Z,μ₂ − δ(n_Z))</t>
  </si>
  <si>
    <t xml:space="preserve">n⁺_{Z,μ₃} weighted = (e^μ₃/p_μ₃)·(n_Z,μ₃ + δ(n_Z))</t>
  </si>
  <si>
    <t xml:space="preserve">n⁺_{Z,μ₁} weighted = (e^μ₁/p_μ₁)·(n_Z,μ₁ + δ(n_Z))</t>
  </si>
  <si>
    <t xml:space="preserve">denominator = μ₁(μ₂−μ₃) − (μ₂²−μ₃²)</t>
  </si>
  <si>
    <t xml:space="preserve">s^l_{Z,1}  [Lim Eq. 3]</t>
  </si>
  <si>
    <t xml:space="preserve">Step 8b  —  Bracket Decomposition of s^l_{Z,1}  [Lim Eq. 3]</t>
  </si>
  <si>
    <t xml:space="preserve">Three terms inside the bracket:</t>
  </si>
  <si>
    <t xml:space="preserve">Term 1  (μ₂ decoy, positive):  n⁻_{Z,μ₂}</t>
  </si>
  <si>
    <t xml:space="preserve">← primary estimator of s_{Z,1}</t>
  </si>
  <si>
    <t xml:space="preserve">Term 2  (μ₃ vacuum, negative):  −n⁺_{Z,μ₃}</t>
  </si>
  <si>
    <t xml:space="preserve">← vacuum subtraction — NEW vs 1-decoy</t>
  </si>
  <si>
    <t xml:space="preserve">Term 3  (μ₁ signal correction):  −(μ₂²−μ₃²)/μ₁²·(n⁺_{Z,μ₁}−s^l_{Z,0}/τ₀)</t>
  </si>
  <si>
    <t xml:space="preserve">← signal suppressed by (μ₂²−μ₃²)/μ₁²</t>
  </si>
  <si>
    <t xml:space="preserve">Net bracket</t>
  </si>
  <si>
    <t xml:space="preserve">Step 9  —  s^l_{X,0} and s^l_{X,1}  [same formulas, X-basis]</t>
  </si>
  <si>
    <t xml:space="preserve">n⁻_{X,μ₃} weighted</t>
  </si>
  <si>
    <t xml:space="preserve">n⁺_{X,μ₂} weighted</t>
  </si>
  <si>
    <t xml:space="preserve">s^l_{X,0} = τ₀/(μ₂−μ₃)·(μ₂·n⁻_{X,μ₃} − μ₃·n⁺_{X,μ₂})</t>
  </si>
  <si>
    <t xml:space="preserve">n⁻_{X,μ₂} weighted</t>
  </si>
  <si>
    <t xml:space="preserve">n⁺_{X,μ₃} weighted</t>
  </si>
  <si>
    <t xml:space="preserve">n⁺_{X,μ₁} weighted</t>
  </si>
  <si>
    <t xml:space="preserve">s^l_{X,1}  [Lim Eq. 3 with X-basis]</t>
  </si>
  <si>
    <t xml:space="preserve">Step 10  —  v^u_{X,1}  [Lim Eq. 4  — uses μ₂ and μ₃ only]</t>
  </si>
  <si>
    <t xml:space="preserve">m⁺_{X,μ₂} weighted = (e^μ₂/p_μ₂)·(m_X,μ₂ + δ(m_X))</t>
  </si>
  <si>
    <t xml:space="preserve">m⁻_{X,μ₃} weighted = (e^μ₃/p_μ₃)·(m_X,μ₃ − δ(m_X))</t>
  </si>
  <si>
    <t xml:space="preserve">v^u_{X,1} = MAX(τ₁/(μ₂−μ₃)·(m⁺_{X,μ₂} − m⁻_{X,μ₃}), 0)  [Lim Eq. 4]</t>
  </si>
  <si>
    <t xml:space="preserve">Step 11  —  Phase Error φ^u_Z  [Lim Eq. 5,  K=21]</t>
  </si>
  <si>
    <t xml:space="preserve">φ_raw = v^u_{X,1} / s^l_{X,1}  [Lim Eq. 5]</t>
  </si>
  <si>
    <t xml:space="preserve">γ  finite-key correction  [Lim Eq. 5, K=21]</t>
  </si>
  <si>
    <t xml:space="preserve">φ^u_Z = min(φ_raw + γ, 0.5)  [Lim Eq. 5]</t>
  </si>
  <si>
    <t xml:space="preserve">h(φ^u_Z)</t>
  </si>
  <si>
    <t xml:space="preserve">1 − h(φ^u_Z)</t>
  </si>
  <si>
    <t xml:space="preserve">Step 12  —  Secret Key Length ℓ and SKR  [Lim Eq. 1]</t>
  </si>
  <si>
    <t xml:space="preserve">λ_EC = f_EC · h(e_obs) · n_Z</t>
  </si>
  <si>
    <t xml:space="preserve">Overhead = 6·log₂(K/ε_sec) + log₂(2/ε_cor)  [K=21]</t>
  </si>
  <si>
    <t xml:space="preserve">s^l_{Z,0}</t>
  </si>
  <si>
    <t xml:space="preserve">ℓ = s^l_{Z,0} + s^l_{Z,1}·(1−h(φ)) − λ_EC − overhead  [Lim Eq. 1]</t>
  </si>
  <si>
    <t xml:space="preserve">c_DT  dead-time correction</t>
  </si>
  <si>
    <t xml:space="preserve">N_tot = n_Z / (c_DT · p_Z² · P_det_tot)</t>
  </si>
  <si>
    <t xml:space="preserve">SKR (bits/s) = ℓ · f_rep / N_tot</t>
  </si>
  <si>
    <t xml:space="preserve">2-Decoy SKR (bits/s) vs e_det and Global Attenuation  [n_Z=1e7, 80 MHz]</t>
  </si>
  <si>
    <t xml:space="preserve">Green ≥1000 b/s  |  Amber 100–999  |  Light red 1–99  |  Red = 0</t>
  </si>
  <si>
    <t xml:space="preserve">Att (dB) \ e_det</t>
  </si>
  <si>
    <t xml:space="preserve">1%</t>
  </si>
  <si>
    <t xml:space="preserve">2%</t>
  </si>
  <si>
    <t xml:space="preserve">3%</t>
  </si>
  <si>
    <t xml:space="preserve">4%</t>
  </si>
  <si>
    <t xml:space="preserve">5%</t>
  </si>
  <si>
    <t xml:space="preserve">7%</t>
  </si>
  <si>
    <t xml:space="preserve">10 dB</t>
  </si>
  <si>
    <t xml:space="preserve">15 dB</t>
  </si>
  <si>
    <t xml:space="preserve">20 dB</t>
  </si>
  <si>
    <t xml:space="preserve">25 dB</t>
  </si>
  <si>
    <t xml:space="preserve">30 dB</t>
  </si>
  <si>
    <t xml:space="preserve">35 dB</t>
  </si>
  <si>
    <t xml:space="preserve">40 dB</t>
  </si>
  <si>
    <t xml:space="preserve">Distance ↔ Attenuation Conversion</t>
  </si>
  <si>
    <t xml:space="preserve">d (km) = [att_global (dB) − att_detector (dB)] / α    where  att_detector = −10·log₁₀(η_Bob)</t>
  </si>
  <si>
    <t xml:space="preserve">Parameter</t>
  </si>
  <si>
    <t xml:space="preserve">Value</t>
  </si>
  <si>
    <t xml:space="preserve">η_Bob  detector efficiency</t>
  </si>
  <si>
    <t xml:space="preserve">α  fibre loss (dB/km)</t>
  </si>
  <si>
    <t xml:space="preserve">att_detector = −10·log₁₀(η_Bob)  (dB)</t>
  </si>
  <si>
    <t xml:space="preserve">att_global (dB)</t>
  </si>
  <si>
    <t xml:space="preserve">att_channel (dB)</t>
  </si>
  <si>
    <t xml:space="preserve">Distance (km)</t>
  </si>
  <si>
    <t xml:space="preserve">← BB84 datasheet operating point</t>
  </si>
  <si>
    <t xml:space="preserve">← ≈ 2-decoy max range</t>
  </si>
  <si>
    <t xml:space="preserve">← 1-decoy max range</t>
  </si>
  <si>
    <t xml:space="preserve">Formula:  d = (att_global − att_detector) / α</t>
  </si>
  <si>
    <t xml:space="preserve">Example:  d = (47.0 − 8.24) / 0.2 = 193.8 km  (1-decoy cutoff at n_Z=10⁷, e_det=1%)</t>
  </si>
  <si>
    <t xml:space="preserve">Note: att_detector = 8.24 dB for η_Bob=0.15. Better detector → longer reach at same budget.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</si>
</sst>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000"/>
    <numFmt numFmtId="167" formatCode="0.00E+00"/>
    <numFmt numFmtId="168" formatCode="0"/>
    <numFmt numFmtId="169" formatCode="0.0"/>
    <numFmt numFmtId="170" formatCode="0.0%"/>
    <numFmt numFmtId="171" formatCode="0.00%"/>
    <numFmt numFmtId="172" formatCode="0.000000"/>
    <numFmt numFmtId="173" formatCode="0.000"/>
    <numFmt numFmtId="174" formatCode="#,##0.0"/>
    <numFmt numFmtId="175" formatCode="#,##0"/>
    <numFmt numFmtId="176" formatCode="0.00&quot; dB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7B2D8B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27AE60"/>
      <name val="Arial"/>
      <family val="0"/>
      <charset val="1"/>
    </font>
    <font>
      <i val="true"/>
      <sz val="9"/>
      <color rgb="FF7B2D8B"/>
      <name val="Arial"/>
      <family val="0"/>
      <charset val="1"/>
    </font>
    <font>
      <i val="true"/>
      <sz val="9"/>
      <color rgb="FFD4A01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D4A017"/>
      <name val="Arial"/>
      <family val="0"/>
      <charset val="1"/>
    </font>
    <font>
      <sz val="10"/>
      <color rgb="FF2E75B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88888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D5E8D4"/>
      </patternFill>
    </fill>
    <fill>
      <patternFill patternType="solid">
        <fgColor rgb="FFF2F2F2"/>
        <bgColor rgb="FFEDE7F6"/>
      </patternFill>
    </fill>
    <fill>
      <patternFill patternType="solid">
        <fgColor rgb="FFEDE7F6"/>
        <bgColor rgb="FFF2F2F2"/>
      </patternFill>
    </fill>
    <fill>
      <patternFill patternType="solid">
        <fgColor rgb="FF7B2D8B"/>
        <bgColor rgb="FF993366"/>
      </patternFill>
    </fill>
    <fill>
      <patternFill patternType="solid">
        <fgColor rgb="FFE2EFDA"/>
        <bgColor rgb="FFD5E8D4"/>
      </patternFill>
    </fill>
    <fill>
      <patternFill patternType="solid">
        <fgColor rgb="FFFFF2CC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D5E8D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7B2D8B"/>
      <rgbColor rgb="FFFFF2CC"/>
      <rgbColor rgb="FFD5E8D4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7F6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4A017"/>
      <rgbColor rgb="FFFF6600"/>
      <rgbColor rgb="FF555555"/>
      <rgbColor rgb="FFAAAAAA"/>
      <rgbColor rgb="FF1F3864"/>
      <rgbColor rgb="FF27AE6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"/>
    <col collapsed="false" customWidth="true" hidden="false" outlineLevel="0" max="5" min="5" style="1" width="18"/>
    <col collapsed="false" customWidth="true" hidden="false" outlineLevel="0" max="6" min="6" style="1" width="3"/>
  </cols>
  <sheetData>
    <row r="1" customFormat="false" ht="30" hidden="false" customHeight="true" outlineLevel="0" collapsed="false">
      <c r="B1" s="2" t="s">
        <v>0</v>
      </c>
      <c r="C1" s="2"/>
      <c r="D1" s="2"/>
      <c r="E1" s="2"/>
    </row>
    <row r="2" customFormat="false" ht="18" hidden="false" customHeight="true" outlineLevel="0" collapsed="false">
      <c r="B2" s="3" t="s">
        <v>1</v>
      </c>
      <c r="C2" s="3"/>
      <c r="D2" s="3"/>
      <c r="E2" s="3"/>
    </row>
    <row r="4" customFormat="false" ht="15" hidden="false" customHeight="true" outlineLevel="0" collapsed="false">
      <c r="B4" s="4" t="s">
        <v>2</v>
      </c>
      <c r="C4" s="4" t="s">
        <v>3</v>
      </c>
      <c r="D4" s="5"/>
      <c r="E4" s="5"/>
    </row>
    <row r="5" customFormat="false" ht="15.75" hidden="false" customHeight="true" outlineLevel="0" collapsed="false">
      <c r="B5" s="6" t="s">
        <v>4</v>
      </c>
      <c r="C5" s="5"/>
      <c r="D5" s="5"/>
      <c r="E5" s="5"/>
    </row>
    <row r="6" customFormat="false" ht="15.75" hidden="false" customHeight="true" outlineLevel="0" collapsed="false">
      <c r="B6" s="7" t="s">
        <v>5</v>
      </c>
      <c r="C6" s="8" t="n">
        <v>0.5</v>
      </c>
      <c r="D6" s="5"/>
      <c r="E6" s="5"/>
    </row>
    <row r="7" customFormat="false" ht="15.75" hidden="false" customHeight="true" outlineLevel="0" collapsed="false">
      <c r="B7" s="7" t="s">
        <v>6</v>
      </c>
      <c r="C7" s="8" t="n">
        <v>0.1</v>
      </c>
      <c r="D7" s="5"/>
      <c r="E7" s="5"/>
    </row>
    <row r="8" customFormat="false" ht="15.75" hidden="false" customHeight="true" outlineLevel="0" collapsed="false">
      <c r="B8" s="7" t="s">
        <v>7</v>
      </c>
      <c r="C8" s="9" t="n">
        <v>0.0002</v>
      </c>
      <c r="D8" s="5"/>
      <c r="E8" s="5"/>
    </row>
    <row r="9" customFormat="false" ht="15.75" hidden="false" customHeight="true" outlineLevel="0" collapsed="false">
      <c r="B9" s="7" t="s">
        <v>8</v>
      </c>
      <c r="C9" s="8" t="n">
        <v>0.5</v>
      </c>
      <c r="D9" s="5"/>
      <c r="E9" s="5"/>
    </row>
    <row r="10" customFormat="false" ht="15.75" hidden="false" customHeight="true" outlineLevel="0" collapsed="false">
      <c r="B10" s="7" t="s">
        <v>9</v>
      </c>
      <c r="C10" s="8" t="n">
        <v>0.25</v>
      </c>
      <c r="D10" s="5"/>
      <c r="E10" s="5"/>
    </row>
    <row r="11" customFormat="false" ht="15.75" hidden="false" customHeight="true" outlineLevel="0" collapsed="false">
      <c r="B11" s="7" t="s">
        <v>10</v>
      </c>
      <c r="C11" s="10" t="n">
        <f aca="false">1-C9-C10</f>
        <v>0.25</v>
      </c>
      <c r="D11" s="5"/>
      <c r="E11" s="5"/>
    </row>
    <row r="12" customFormat="false" ht="15.75" hidden="false" customHeight="true" outlineLevel="0" collapsed="false">
      <c r="B12" s="7" t="s">
        <v>11</v>
      </c>
      <c r="C12" s="8" t="n">
        <v>0.9</v>
      </c>
      <c r="D12" s="5"/>
      <c r="E12" s="5"/>
    </row>
    <row r="13" customFormat="false" ht="15.75" hidden="false" customHeight="true" outlineLevel="0" collapsed="false">
      <c r="B13" s="7" t="s">
        <v>12</v>
      </c>
      <c r="C13" s="11" t="n">
        <v>10000000</v>
      </c>
      <c r="D13" s="5"/>
      <c r="E13" s="5"/>
    </row>
    <row r="14" customFormat="false" ht="15.75" hidden="false" customHeight="true" outlineLevel="0" collapsed="false">
      <c r="B14" s="7" t="s">
        <v>13</v>
      </c>
      <c r="C14" s="11" t="n">
        <v>1E-009</v>
      </c>
      <c r="D14" s="5"/>
      <c r="E14" s="5"/>
    </row>
    <row r="15" customFormat="false" ht="15.75" hidden="false" customHeight="true" outlineLevel="0" collapsed="false">
      <c r="B15" s="7" t="s">
        <v>14</v>
      </c>
      <c r="C15" s="11" t="n">
        <v>1E-015</v>
      </c>
      <c r="D15" s="5"/>
      <c r="E15" s="5"/>
    </row>
    <row r="16" customFormat="false" ht="15.75" hidden="false" customHeight="true" outlineLevel="0" collapsed="false">
      <c r="B16" s="7" t="s">
        <v>15</v>
      </c>
      <c r="C16" s="8" t="n">
        <v>1.16</v>
      </c>
      <c r="D16" s="5"/>
      <c r="E16" s="5"/>
    </row>
    <row r="17" customFormat="false" ht="15.75" hidden="false" customHeight="true" outlineLevel="0" collapsed="false">
      <c r="B17" s="7" t="s">
        <v>16</v>
      </c>
      <c r="C17" s="12" t="n">
        <v>21</v>
      </c>
      <c r="D17" s="5"/>
      <c r="E17" s="5"/>
    </row>
    <row r="18" customFormat="false" ht="15.75" hidden="false" customHeight="true" outlineLevel="0" collapsed="false">
      <c r="B18" s="6" t="s">
        <v>17</v>
      </c>
      <c r="C18" s="5"/>
      <c r="D18" s="5"/>
      <c r="E18" s="5"/>
    </row>
    <row r="19" customFormat="false" ht="15.75" hidden="false" customHeight="true" outlineLevel="0" collapsed="false">
      <c r="B19" s="7" t="s">
        <v>18</v>
      </c>
      <c r="C19" s="8" t="n">
        <v>0.15</v>
      </c>
      <c r="D19" s="5"/>
      <c r="E19" s="5"/>
    </row>
    <row r="20" customFormat="false" ht="15.75" hidden="false" customHeight="true" outlineLevel="0" collapsed="false">
      <c r="B20" s="7" t="s">
        <v>19</v>
      </c>
      <c r="C20" s="11" t="n">
        <v>6E-007</v>
      </c>
      <c r="D20" s="5"/>
      <c r="E20" s="5"/>
    </row>
    <row r="21" customFormat="false" ht="15.75" hidden="false" customHeight="true" outlineLevel="0" collapsed="false">
      <c r="B21" s="7" t="s">
        <v>20</v>
      </c>
      <c r="C21" s="12" t="n">
        <v>80</v>
      </c>
      <c r="D21" s="5"/>
      <c r="E21" s="5"/>
    </row>
    <row r="22" customFormat="false" ht="15.75" hidden="false" customHeight="true" outlineLevel="0" collapsed="false">
      <c r="B22" s="7" t="s">
        <v>21</v>
      </c>
      <c r="C22" s="13" t="n">
        <v>10</v>
      </c>
      <c r="D22" s="5"/>
      <c r="E22" s="5"/>
    </row>
    <row r="23" customFormat="false" ht="15.75" hidden="false" customHeight="true" outlineLevel="0" collapsed="false">
      <c r="B23" s="7" t="s">
        <v>22</v>
      </c>
      <c r="C23" s="13" t="n">
        <v>25</v>
      </c>
      <c r="D23" s="5"/>
      <c r="E23" s="5"/>
    </row>
    <row r="24" customFormat="false" ht="15.75" hidden="false" customHeight="true" outlineLevel="0" collapsed="false">
      <c r="B24" s="7" t="s">
        <v>23</v>
      </c>
      <c r="C24" s="14" t="n">
        <v>0.01</v>
      </c>
      <c r="D24" s="5"/>
      <c r="E24" s="5"/>
    </row>
    <row r="25" customFormat="false" ht="15" hidden="false" customHeight="true" outlineLevel="0" collapsed="false">
      <c r="B25" s="5"/>
      <c r="C25" s="5"/>
      <c r="D25" s="5"/>
      <c r="E25" s="5"/>
    </row>
    <row r="26" customFormat="false" ht="15" hidden="false" customHeight="true" outlineLevel="0" collapsed="false">
      <c r="B26" s="6" t="s">
        <v>24</v>
      </c>
      <c r="C26" s="5"/>
      <c r="D26" s="5"/>
      <c r="E26" s="5"/>
    </row>
    <row r="27" customFormat="false" ht="15" hidden="false" customHeight="true" outlineLevel="0" collapsed="false">
      <c r="B27" s="7" t="s">
        <v>25</v>
      </c>
      <c r="C27" s="10" t="n">
        <f aca="false">1-C12</f>
        <v>0.1</v>
      </c>
      <c r="D27" s="5"/>
      <c r="E27" s="5"/>
    </row>
    <row r="28" customFormat="false" ht="15" hidden="false" customHeight="true" outlineLevel="0" collapsed="false">
      <c r="B28" s="7" t="s">
        <v>26</v>
      </c>
      <c r="C28" s="15" t="n">
        <f aca="false">C14/C17</f>
        <v>4.76190476190476E-011</v>
      </c>
      <c r="D28" s="5"/>
      <c r="E28" s="5"/>
    </row>
    <row r="29" customFormat="false" ht="15" hidden="false" customHeight="true" outlineLevel="0" collapsed="false">
      <c r="B29" s="7" t="s">
        <v>27</v>
      </c>
      <c r="C29" s="15" t="n">
        <f aca="false">10^(-C23/10)</f>
        <v>0.00316227766016838</v>
      </c>
      <c r="D29" s="5"/>
      <c r="E29" s="5"/>
    </row>
    <row r="30" customFormat="false" ht="15" hidden="false" customHeight="true" outlineLevel="0" collapsed="false">
      <c r="B30" s="5"/>
      <c r="C30" s="5"/>
      <c r="D30" s="5"/>
      <c r="E30" s="5"/>
    </row>
    <row r="31" customFormat="false" ht="18" hidden="false" customHeight="true" outlineLevel="0" collapsed="false">
      <c r="B31" s="4" t="s">
        <v>28</v>
      </c>
      <c r="C31" s="4"/>
      <c r="D31" s="4"/>
      <c r="E31" s="4"/>
    </row>
    <row r="32" customFormat="false" ht="15" hidden="false" customHeight="true" outlineLevel="0" collapsed="false">
      <c r="B32" s="16" t="s">
        <v>29</v>
      </c>
      <c r="C32" s="15" t="n">
        <f aca="false">1-EXP(-C6*C29)+C20</f>
        <v>0.00158048948863175</v>
      </c>
      <c r="D32" s="5"/>
      <c r="E32" s="5"/>
    </row>
    <row r="33" customFormat="false" ht="15" hidden="false" customHeight="true" outlineLevel="0" collapsed="false">
      <c r="B33" s="16" t="s">
        <v>30</v>
      </c>
      <c r="C33" s="15" t="n">
        <f aca="false">1-EXP(-C7*C29)+C20</f>
        <v>0.000316777771286896</v>
      </c>
      <c r="D33" s="5"/>
      <c r="E33" s="5"/>
    </row>
    <row r="34" customFormat="false" ht="15" hidden="false" customHeight="true" outlineLevel="0" collapsed="false">
      <c r="B34" s="17" t="s">
        <v>31</v>
      </c>
      <c r="C34" s="18" t="n">
        <f aca="false">1-EXP(-C8*C29)+C20</f>
        <v>1.23245533199474E-006</v>
      </c>
      <c r="D34" s="5"/>
      <c r="E34" s="5"/>
    </row>
    <row r="35" customFormat="false" ht="15" hidden="false" customHeight="true" outlineLevel="0" collapsed="false">
      <c r="B35" s="16" t="s">
        <v>32</v>
      </c>
      <c r="C35" s="15" t="n">
        <f aca="false">C9*C32+C10*C33+C11*C34</f>
        <v>0.000869747300970596</v>
      </c>
      <c r="D35" s="5"/>
      <c r="E35" s="5"/>
    </row>
    <row r="36" customFormat="false" ht="15" hidden="false" customHeight="true" outlineLevel="0" collapsed="false">
      <c r="B36" s="5"/>
      <c r="C36" s="5"/>
      <c r="D36" s="5"/>
      <c r="E36" s="5"/>
    </row>
    <row r="37" customFormat="false" ht="18" hidden="false" customHeight="true" outlineLevel="0" collapsed="false">
      <c r="B37" s="4" t="s">
        <v>33</v>
      </c>
      <c r="C37" s="4"/>
      <c r="D37" s="4"/>
      <c r="E37" s="4"/>
    </row>
    <row r="38" customFormat="false" ht="15" hidden="false" customHeight="true" outlineLevel="0" collapsed="false">
      <c r="B38" s="16" t="s">
        <v>34</v>
      </c>
      <c r="C38" s="15" t="n">
        <f aca="false">C13*C9*C32/C35</f>
        <v>9085912.00494671</v>
      </c>
      <c r="D38" s="5"/>
      <c r="E38" s="5"/>
    </row>
    <row r="39" customFormat="false" ht="15" hidden="false" customHeight="true" outlineLevel="0" collapsed="false">
      <c r="B39" s="16" t="s">
        <v>35</v>
      </c>
      <c r="C39" s="15" t="n">
        <f aca="false">C13*C10*C33/C35</f>
        <v>910545.427773641</v>
      </c>
      <c r="D39" s="5"/>
      <c r="E39" s="5"/>
    </row>
    <row r="40" customFormat="false" ht="15" hidden="false" customHeight="true" outlineLevel="0" collapsed="false">
      <c r="B40" s="17" t="s">
        <v>36</v>
      </c>
      <c r="C40" s="18" t="n">
        <f aca="false">C13*C11*C34/C35</f>
        <v>3542.5672796552</v>
      </c>
      <c r="D40" s="5"/>
      <c r="E40" s="5"/>
    </row>
    <row r="41" customFormat="false" ht="15" hidden="false" customHeight="true" outlineLevel="0" collapsed="false">
      <c r="B41" s="16" t="s">
        <v>37</v>
      </c>
      <c r="C41" s="15" t="n">
        <f aca="false">C13*(C27/C12)^2</f>
        <v>123456.790123457</v>
      </c>
      <c r="D41" s="5"/>
      <c r="E41" s="5"/>
    </row>
    <row r="42" customFormat="false" ht="15" hidden="false" customHeight="true" outlineLevel="0" collapsed="false">
      <c r="B42" s="16" t="s">
        <v>38</v>
      </c>
      <c r="C42" s="15" t="n">
        <f aca="false">C41*C9*C32/C35</f>
        <v>112171.75314749</v>
      </c>
      <c r="D42" s="5"/>
      <c r="E42" s="5"/>
    </row>
    <row r="43" customFormat="false" ht="15" hidden="false" customHeight="true" outlineLevel="0" collapsed="false">
      <c r="B43" s="16" t="s">
        <v>39</v>
      </c>
      <c r="C43" s="15" t="n">
        <f aca="false">C41*C10*C33/C35</f>
        <v>11241.3015774523</v>
      </c>
      <c r="D43" s="5"/>
      <c r="E43" s="5"/>
    </row>
    <row r="44" customFormat="false" ht="15" hidden="false" customHeight="true" outlineLevel="0" collapsed="false">
      <c r="B44" s="17" t="s">
        <v>40</v>
      </c>
      <c r="C44" s="18" t="n">
        <f aca="false">C41*C11*C34/C35</f>
        <v>43.7353985142616</v>
      </c>
      <c r="D44" s="5"/>
      <c r="E44" s="5"/>
    </row>
    <row r="45" customFormat="false" ht="15" hidden="false" customHeight="true" outlineLevel="0" collapsed="false">
      <c r="B45" s="5"/>
      <c r="C45" s="5"/>
      <c r="D45" s="5"/>
      <c r="E45" s="5"/>
    </row>
    <row r="46" customFormat="false" ht="18" hidden="false" customHeight="true" outlineLevel="0" collapsed="false">
      <c r="B46" s="4" t="s">
        <v>41</v>
      </c>
      <c r="C46" s="4"/>
      <c r="D46" s="4"/>
      <c r="E46" s="4"/>
    </row>
    <row r="47" customFormat="false" ht="15" hidden="false" customHeight="true" outlineLevel="0" collapsed="false">
      <c r="B47" s="16" t="s">
        <v>42</v>
      </c>
      <c r="C47" s="19" t="n">
        <f aca="false">((1-EXP(-C6*C29))*C24+C20/2)/C32</f>
        <v>0.0101860183203461</v>
      </c>
      <c r="D47" s="5"/>
      <c r="E47" s="5"/>
    </row>
    <row r="48" customFormat="false" ht="15" hidden="false" customHeight="true" outlineLevel="0" collapsed="false">
      <c r="B48" s="16" t="s">
        <v>43</v>
      </c>
      <c r="C48" s="19" t="n">
        <f aca="false">((1-EXP(-C7*C29))*C24+C20/2)/C33</f>
        <v>0.010928095424138</v>
      </c>
      <c r="D48" s="5"/>
      <c r="E48" s="5"/>
    </row>
    <row r="49" customFormat="false" ht="15" hidden="false" customHeight="true" outlineLevel="0" collapsed="false">
      <c r="B49" s="17" t="s">
        <v>44</v>
      </c>
      <c r="C49" s="20" t="n">
        <f aca="false">((1-EXP(-C8*C29))*C24+C20/2)/C34</f>
        <v>0.248548199166097</v>
      </c>
      <c r="D49" s="5"/>
      <c r="E49" s="5"/>
    </row>
    <row r="50" customFormat="false" ht="15" hidden="false" customHeight="true" outlineLevel="0" collapsed="false">
      <c r="B50" s="16" t="s">
        <v>45</v>
      </c>
      <c r="C50" s="15" t="n">
        <f aca="false">C38*C47</f>
        <v>92549.26613944</v>
      </c>
      <c r="D50" s="5"/>
      <c r="E50" s="5"/>
    </row>
    <row r="51" customFormat="false" ht="15" hidden="false" customHeight="true" outlineLevel="0" collapsed="false">
      <c r="B51" s="16" t="s">
        <v>46</v>
      </c>
      <c r="C51" s="15" t="n">
        <f aca="false">C39*C48</f>
        <v>9950.52732272289</v>
      </c>
      <c r="D51" s="5"/>
      <c r="E51" s="5"/>
    </row>
    <row r="52" customFormat="false" ht="15" hidden="false" customHeight="true" outlineLevel="0" collapsed="false">
      <c r="B52" s="17" t="s">
        <v>47</v>
      </c>
      <c r="C52" s="18" t="n">
        <f aca="false">C40*C49</f>
        <v>880.498717783039</v>
      </c>
      <c r="D52" s="5"/>
      <c r="E52" s="5"/>
    </row>
    <row r="53" customFormat="false" ht="15" hidden="false" customHeight="true" outlineLevel="0" collapsed="false">
      <c r="B53" s="16" t="s">
        <v>48</v>
      </c>
      <c r="C53" s="15" t="n">
        <f aca="false">C42*C47</f>
        <v>1142.58353258568</v>
      </c>
      <c r="D53" s="5"/>
      <c r="E53" s="5"/>
    </row>
    <row r="54" customFormat="false" ht="15" hidden="false" customHeight="true" outlineLevel="0" collapsed="false">
      <c r="B54" s="16" t="s">
        <v>49</v>
      </c>
      <c r="C54" s="15" t="n">
        <f aca="false">C43*C48</f>
        <v>122.846016329912</v>
      </c>
      <c r="D54" s="5"/>
      <c r="E54" s="5"/>
    </row>
    <row r="55" customFormat="false" ht="15" hidden="false" customHeight="true" outlineLevel="0" collapsed="false">
      <c r="B55" s="17" t="s">
        <v>50</v>
      </c>
      <c r="C55" s="18" t="n">
        <f aca="false">C44*C49</f>
        <v>10.8703545405313</v>
      </c>
      <c r="D55" s="5"/>
      <c r="E55" s="5"/>
    </row>
    <row r="56" customFormat="false" ht="15" hidden="false" customHeight="true" outlineLevel="0" collapsed="false">
      <c r="B56" s="16" t="s">
        <v>51</v>
      </c>
      <c r="C56" s="15" t="n">
        <f aca="false">C50+C51+C52</f>
        <v>103380.292179946</v>
      </c>
      <c r="D56" s="5"/>
      <c r="E56" s="5"/>
    </row>
    <row r="57" customFormat="false" ht="15" hidden="false" customHeight="true" outlineLevel="0" collapsed="false">
      <c r="B57" s="16" t="s">
        <v>52</v>
      </c>
      <c r="C57" s="15" t="n">
        <f aca="false">C53+C54+C55</f>
        <v>1276.29990345612</v>
      </c>
      <c r="D57" s="5"/>
      <c r="E57" s="5"/>
    </row>
    <row r="58" customFormat="false" ht="15" hidden="false" customHeight="true" outlineLevel="0" collapsed="false">
      <c r="B58" s="16" t="s">
        <v>53</v>
      </c>
      <c r="C58" s="19" t="n">
        <f aca="false">C56/ C13</f>
        <v>0.0103380292179946</v>
      </c>
      <c r="D58" s="5"/>
      <c r="E58" s="5"/>
    </row>
    <row r="59" customFormat="false" ht="15" hidden="false" customHeight="true" outlineLevel="0" collapsed="false">
      <c r="B59" s="5"/>
      <c r="C59" s="5"/>
      <c r="D59" s="5"/>
      <c r="E59" s="5"/>
    </row>
    <row r="60" customFormat="false" ht="18" hidden="false" customHeight="true" outlineLevel="0" collapsed="false">
      <c r="B60" s="4" t="s">
        <v>54</v>
      </c>
      <c r="C60" s="4"/>
      <c r="D60" s="4"/>
      <c r="E60" s="4"/>
    </row>
    <row r="61" customFormat="false" ht="15" hidden="false" customHeight="true" outlineLevel="0" collapsed="false">
      <c r="B61" s="16" t="s">
        <v>55</v>
      </c>
      <c r="C61" s="15" t="n">
        <f aca="false">SQRT(C13/2*LN(1/C28))</f>
        <v>10901.3275050954</v>
      </c>
      <c r="D61" s="5"/>
      <c r="E61" s="5"/>
    </row>
    <row r="62" customFormat="false" ht="15" hidden="false" customHeight="true" outlineLevel="0" collapsed="false">
      <c r="B62" s="16" t="s">
        <v>56</v>
      </c>
      <c r="C62" s="15" t="n">
        <f aca="false">SQRT(C41/2*LN(1/C28))</f>
        <v>1211.25861167726</v>
      </c>
      <c r="D62" s="5"/>
      <c r="E62" s="5"/>
    </row>
    <row r="63" customFormat="false" ht="15" hidden="false" customHeight="true" outlineLevel="0" collapsed="false">
      <c r="B63" s="16" t="s">
        <v>57</v>
      </c>
      <c r="C63" s="15" t="n">
        <f aca="false">IF(C57&gt;0,SQRT(C57/2*LN(1/C28)),0)</f>
        <v>123.156051171525</v>
      </c>
      <c r="D63" s="5"/>
      <c r="E63" s="5"/>
    </row>
    <row r="64" customFormat="false" ht="15" hidden="false" customHeight="true" outlineLevel="0" collapsed="false">
      <c r="B64" s="16" t="s">
        <v>58</v>
      </c>
      <c r="C64" s="15" t="n">
        <f aca="false">IF(C56&gt;0,SQRT(C56/2*LN(1/C28)),0)</f>
        <v>1108.40446054373</v>
      </c>
      <c r="D64" s="5"/>
      <c r="E64" s="5"/>
    </row>
    <row r="65" customFormat="false" ht="15" hidden="false" customHeight="true" outlineLevel="0" collapsed="false">
      <c r="B65" s="5"/>
      <c r="C65" s="5"/>
      <c r="D65" s="5"/>
      <c r="E65" s="5"/>
    </row>
    <row r="66" customFormat="false" ht="18" hidden="false" customHeight="true" outlineLevel="0" collapsed="false">
      <c r="B66" s="4" t="s">
        <v>59</v>
      </c>
      <c r="C66" s="4"/>
      <c r="D66" s="4"/>
      <c r="E66" s="4"/>
    </row>
    <row r="67" customFormat="false" ht="15" hidden="false" customHeight="true" outlineLevel="0" collapsed="false">
      <c r="B67" s="16" t="s">
        <v>60</v>
      </c>
      <c r="C67" s="21" t="n">
        <f aca="false">C9*EXP(-C6)+C10*EXP(-C7)+C11*EXP(-C8)</f>
        <v>0.779424689364973</v>
      </c>
      <c r="D67" s="5"/>
      <c r="E67" s="5"/>
    </row>
    <row r="68" customFormat="false" ht="15" hidden="false" customHeight="true" outlineLevel="0" collapsed="false">
      <c r="B68" s="16" t="s">
        <v>61</v>
      </c>
      <c r="C68" s="21" t="n">
        <f aca="false">C9*EXP(-C6)*C6+C10*EXP(-C7)*C7+C11*EXP(-C8)*C8</f>
        <v>0.174303590380057</v>
      </c>
      <c r="D68" s="5"/>
      <c r="E68" s="5"/>
    </row>
    <row r="69" customFormat="false" ht="15" hidden="false" customHeight="true" outlineLevel="0" collapsed="false">
      <c r="B69" s="5"/>
      <c r="C69" s="5"/>
      <c r="D69" s="5"/>
      <c r="E69" s="5"/>
    </row>
    <row r="70" customFormat="false" ht="18" hidden="false" customHeight="true" outlineLevel="0" collapsed="false">
      <c r="B70" s="22" t="s">
        <v>62</v>
      </c>
      <c r="C70" s="22"/>
      <c r="D70" s="22"/>
      <c r="E70" s="22"/>
    </row>
    <row r="71" customFormat="false" ht="15" hidden="false" customHeight="true" outlineLevel="0" collapsed="false">
      <c r="B71" s="17" t="s">
        <v>63</v>
      </c>
      <c r="C71" s="18" t="n">
        <f aca="false">(EXP(C8)/C11)*(C40-C61)</f>
        <v>-29440.9284986812</v>
      </c>
      <c r="D71" s="5"/>
      <c r="E71" s="5"/>
    </row>
    <row r="72" customFormat="false" ht="15" hidden="false" customHeight="true" outlineLevel="0" collapsed="false">
      <c r="B72" s="17" t="s">
        <v>64</v>
      </c>
      <c r="C72" s="18" t="n">
        <f aca="false">(EXP(C7)/C10)*(C39+C61)</f>
        <v>4073424.62595691</v>
      </c>
      <c r="D72" s="5"/>
      <c r="E72" s="5"/>
    </row>
    <row r="73" customFormat="false" ht="15" hidden="false" customHeight="true" outlineLevel="0" collapsed="false">
      <c r="B73" s="17" t="s">
        <v>65</v>
      </c>
      <c r="C73" s="18" t="n">
        <f aca="false">MAX(C67/(C7-C8)*(C7*C71-C8*C72),0)</f>
        <v>0</v>
      </c>
      <c r="D73" s="5"/>
      <c r="E73" s="5"/>
    </row>
    <row r="74" customFormat="false" ht="15" hidden="false" customHeight="true" outlineLevel="0" collapsed="false">
      <c r="B74" s="5"/>
      <c r="C74" s="5"/>
      <c r="D74" s="5"/>
      <c r="E74" s="5"/>
    </row>
    <row r="75" customFormat="false" ht="18" hidden="false" customHeight="true" outlineLevel="0" collapsed="false">
      <c r="B75" s="4" t="s">
        <v>66</v>
      </c>
      <c r="C75" s="4"/>
      <c r="D75" s="4"/>
      <c r="E75" s="4"/>
    </row>
    <row r="76" customFormat="false" ht="15" hidden="false" customHeight="true" outlineLevel="0" collapsed="false">
      <c r="B76" s="16" t="s">
        <v>67</v>
      </c>
      <c r="C76" s="15" t="n">
        <f aca="false">(EXP(C7)/C10)*(C39-C61)</f>
        <v>3977041.98494051</v>
      </c>
      <c r="D76" s="5"/>
      <c r="E76" s="5"/>
    </row>
    <row r="77" customFormat="false" ht="15" hidden="false" customHeight="true" outlineLevel="0" collapsed="false">
      <c r="B77" s="17" t="s">
        <v>68</v>
      </c>
      <c r="C77" s="18" t="n">
        <f aca="false">(EXP(C8)/C11)*(C40+C61)</f>
        <v>57787.1354104188</v>
      </c>
      <c r="D77" s="5"/>
      <c r="E77" s="5"/>
    </row>
    <row r="78" customFormat="false" ht="15" hidden="false" customHeight="true" outlineLevel="0" collapsed="false">
      <c r="B78" s="16" t="s">
        <v>69</v>
      </c>
      <c r="C78" s="15" t="n">
        <f aca="false">(EXP(C6)/C9)*(C38+C61)</f>
        <v>29996219.2736036</v>
      </c>
      <c r="D78" s="5"/>
      <c r="E78" s="5"/>
    </row>
    <row r="79" customFormat="false" ht="15" hidden="false" customHeight="true" outlineLevel="0" collapsed="false">
      <c r="B79" s="16" t="s">
        <v>70</v>
      </c>
      <c r="C79" s="21" t="n">
        <f aca="false">C6*(C7-C8)-(C7^2-C8^2)</f>
        <v>0.03990004</v>
      </c>
      <c r="D79" s="5"/>
      <c r="E79" s="5"/>
    </row>
    <row r="80" customFormat="false" ht="15" hidden="false" customHeight="true" outlineLevel="0" collapsed="false">
      <c r="B80" s="23" t="s">
        <v>71</v>
      </c>
      <c r="C80" s="15" t="n">
        <f aca="false">MAX(C6*C68/C79*(C76-C77-(C7^2-C8^2)/C6^2*(C78-C73/C67)),0)</f>
        <v>5939882.26265786</v>
      </c>
      <c r="D80" s="5"/>
      <c r="E80" s="5"/>
    </row>
    <row r="81" customFormat="false" ht="15" hidden="false" customHeight="true" outlineLevel="0" collapsed="false">
      <c r="B81" s="5"/>
      <c r="C81" s="5"/>
      <c r="D81" s="5"/>
      <c r="E81" s="5"/>
    </row>
    <row r="82" customFormat="false" ht="18" hidden="false" customHeight="true" outlineLevel="0" collapsed="false">
      <c r="B82" s="4" t="s">
        <v>72</v>
      </c>
      <c r="C82" s="4"/>
      <c r="D82" s="4"/>
      <c r="E82" s="4"/>
    </row>
    <row r="83" customFormat="false" ht="15" hidden="false" customHeight="true" outlineLevel="0" collapsed="false">
      <c r="B83" s="24" t="s">
        <v>73</v>
      </c>
      <c r="C83" s="5"/>
      <c r="D83" s="5"/>
      <c r="E83" s="5"/>
    </row>
    <row r="84" customFormat="false" ht="15" hidden="false" customHeight="true" outlineLevel="0" collapsed="false">
      <c r="B84" s="16" t="s">
        <v>74</v>
      </c>
      <c r="C84" s="25" t="n">
        <f aca="false">C76</f>
        <v>3977041.98494051</v>
      </c>
      <c r="D84" s="26" t="s">
        <v>75</v>
      </c>
      <c r="E84" s="5"/>
    </row>
    <row r="85" customFormat="false" ht="15" hidden="false" customHeight="true" outlineLevel="0" collapsed="false">
      <c r="B85" s="17" t="s">
        <v>76</v>
      </c>
      <c r="C85" s="18" t="n">
        <f aca="false">-C77</f>
        <v>-57787.1354104188</v>
      </c>
      <c r="D85" s="27" t="s">
        <v>77</v>
      </c>
      <c r="E85" s="5"/>
    </row>
    <row r="86" customFormat="false" ht="15" hidden="false" customHeight="true" outlineLevel="0" collapsed="false">
      <c r="B86" s="16" t="s">
        <v>78</v>
      </c>
      <c r="C86" s="28" t="n">
        <f aca="false">-(C7^2-C8^2)/C6^2*(C78-C73/C67)</f>
        <v>-1199843.97154906</v>
      </c>
      <c r="D86" s="29" t="s">
        <v>79</v>
      </c>
      <c r="E86" s="5"/>
    </row>
    <row r="87" customFormat="false" ht="15" hidden="false" customHeight="true" outlineLevel="0" collapsed="false">
      <c r="B87" s="23" t="s">
        <v>80</v>
      </c>
      <c r="C87" s="30" t="n">
        <f aca="false">C76-C77-(C7^2-C8^2)/C6^2*(C78-C73/C67)</f>
        <v>2719410.87798103</v>
      </c>
      <c r="D87" s="5"/>
      <c r="E87" s="5"/>
    </row>
    <row r="88" customFormat="false" ht="15" hidden="false" customHeight="true" outlineLevel="0" collapsed="false">
      <c r="B88" s="5"/>
      <c r="C88" s="5"/>
      <c r="D88" s="5"/>
      <c r="E88" s="5"/>
    </row>
    <row r="89" customFormat="false" ht="18" hidden="false" customHeight="true" outlineLevel="0" collapsed="false">
      <c r="B89" s="4" t="s">
        <v>81</v>
      </c>
      <c r="C89" s="4"/>
      <c r="D89" s="4"/>
      <c r="E89" s="4"/>
    </row>
    <row r="90" customFormat="false" ht="15" hidden="false" customHeight="true" outlineLevel="0" collapsed="false">
      <c r="B90" s="17" t="s">
        <v>82</v>
      </c>
      <c r="C90" s="18" t="n">
        <f aca="false">(EXP(C8)/C11)*(C44-C62)</f>
        <v>-4671.02696463063</v>
      </c>
      <c r="D90" s="5"/>
      <c r="E90" s="5"/>
    </row>
    <row r="91" customFormat="false" ht="15" hidden="false" customHeight="true" outlineLevel="0" collapsed="false">
      <c r="B91" s="16" t="s">
        <v>83</v>
      </c>
      <c r="C91" s="15" t="n">
        <f aca="false">(EXP(C7)/C10)*(C43+C62)</f>
        <v>55048.8295064505</v>
      </c>
      <c r="D91" s="5"/>
      <c r="E91" s="5"/>
    </row>
    <row r="92" customFormat="false" ht="15" hidden="false" customHeight="true" outlineLevel="0" collapsed="false">
      <c r="B92" s="16" t="s">
        <v>84</v>
      </c>
      <c r="C92" s="18" t="n">
        <f aca="false">MAX(C67/(C7-C8)*(C7*C90-C8*C91),0)</f>
        <v>0</v>
      </c>
      <c r="D92" s="5"/>
      <c r="E92" s="5"/>
    </row>
    <row r="93" customFormat="false" ht="15" hidden="false" customHeight="true" outlineLevel="0" collapsed="false">
      <c r="B93" s="16" t="s">
        <v>85</v>
      </c>
      <c r="C93" s="15" t="n">
        <f aca="false">(EXP(C7)/C10)*(C43-C62)</f>
        <v>44339.6471712954</v>
      </c>
      <c r="D93" s="5"/>
      <c r="E93" s="5"/>
    </row>
    <row r="94" customFormat="false" ht="15" hidden="false" customHeight="true" outlineLevel="0" collapsed="false">
      <c r="B94" s="17" t="s">
        <v>86</v>
      </c>
      <c r="C94" s="18" t="n">
        <f aca="false">(EXP(C8)/C11)*(C44+C62)</f>
        <v>5020.98013638047</v>
      </c>
      <c r="D94" s="5"/>
      <c r="E94" s="5"/>
    </row>
    <row r="95" customFormat="false" ht="15" hidden="false" customHeight="true" outlineLevel="0" collapsed="false">
      <c r="B95" s="16" t="s">
        <v>87</v>
      </c>
      <c r="C95" s="15" t="n">
        <f aca="false">(EXP(C6)/C9)*(C42+C62)</f>
        <v>373873.966446764</v>
      </c>
      <c r="D95" s="5"/>
      <c r="E95" s="5"/>
    </row>
    <row r="96" customFormat="false" ht="15" hidden="false" customHeight="true" outlineLevel="0" collapsed="false">
      <c r="B96" s="23" t="s">
        <v>88</v>
      </c>
      <c r="C96" s="15" t="n">
        <f aca="false">MAX(C6*C68/C79*(C93-C94-(C7^2-C8^2)/C6^2*(C95-C92/C67)),0)</f>
        <v>53216.6417866179</v>
      </c>
      <c r="D96" s="5"/>
      <c r="E96" s="5"/>
    </row>
    <row r="97" customFormat="false" ht="15" hidden="false" customHeight="true" outlineLevel="0" collapsed="false">
      <c r="B97" s="5"/>
      <c r="C97" s="5"/>
      <c r="D97" s="5"/>
      <c r="E97" s="5"/>
    </row>
    <row r="98" customFormat="false" ht="18" hidden="false" customHeight="true" outlineLevel="0" collapsed="false">
      <c r="B98" s="4" t="s">
        <v>89</v>
      </c>
      <c r="C98" s="4"/>
      <c r="D98" s="4"/>
      <c r="E98" s="4"/>
    </row>
    <row r="99" customFormat="false" ht="15" hidden="false" customHeight="true" outlineLevel="0" collapsed="false">
      <c r="B99" s="16" t="s">
        <v>90</v>
      </c>
      <c r="C99" s="15" t="n">
        <f aca="false">(EXP(C7)/C10)*(C54+C63)</f>
        <v>1087.49732315628</v>
      </c>
      <c r="D99" s="5"/>
      <c r="E99" s="5"/>
    </row>
    <row r="100" customFormat="false" ht="15" hidden="false" customHeight="true" outlineLevel="0" collapsed="false">
      <c r="B100" s="17" t="s">
        <v>91</v>
      </c>
      <c r="C100" s="18" t="n">
        <f aca="false">(EXP(C8)/C11)*(C55-C63)</f>
        <v>-449.232624064735</v>
      </c>
      <c r="D100" s="5"/>
      <c r="E100" s="5"/>
    </row>
    <row r="101" customFormat="false" ht="15" hidden="false" customHeight="true" outlineLevel="0" collapsed="false">
      <c r="B101" s="23" t="s">
        <v>92</v>
      </c>
      <c r="C101" s="15" t="n">
        <f aca="false">MAX(C68/(C7-C8)*(C99-C100),0)</f>
        <v>2683.94335917013</v>
      </c>
      <c r="D101" s="5"/>
      <c r="E101" s="5"/>
    </row>
    <row r="102" customFormat="false" ht="15" hidden="false" customHeight="true" outlineLevel="0" collapsed="false">
      <c r="B102" s="5"/>
      <c r="C102" s="5"/>
      <c r="D102" s="5"/>
      <c r="E102" s="5"/>
    </row>
    <row r="103" customFormat="false" ht="18" hidden="false" customHeight="true" outlineLevel="0" collapsed="false">
      <c r="B103" s="4" t="s">
        <v>93</v>
      </c>
      <c r="C103" s="4"/>
      <c r="D103" s="4"/>
      <c r="E103" s="4"/>
    </row>
    <row r="104" customFormat="false" ht="15" hidden="false" customHeight="true" outlineLevel="0" collapsed="false">
      <c r="B104" s="16" t="s">
        <v>94</v>
      </c>
      <c r="C104" s="21" t="n">
        <f aca="false">IF(C96&gt;0,MIN(C101/C96,0.5),0.5)</f>
        <v>0.0504342865138298</v>
      </c>
      <c r="D104" s="5"/>
      <c r="E104" s="5"/>
    </row>
    <row r="105" customFormat="false" ht="15" hidden="false" customHeight="true" outlineLevel="0" collapsed="false">
      <c r="B105" s="16" t="s">
        <v>95</v>
      </c>
      <c r="C105" s="21" t="n">
        <f aca="false">IF(AND(C104&gt;0,C104&lt;0.5,C80&gt;0,C96&gt;0),SQRT((C80+C96)*(1-C104)*C104/(C80*C96*LN(2))*LOG((C80+C96)/(C80*C96*(1-C104)*C104)*(C17/C14)^2,2)),0)</f>
        <v>0.0086619346423717</v>
      </c>
      <c r="D105" s="5"/>
      <c r="E105" s="5"/>
    </row>
    <row r="106" customFormat="false" ht="15" hidden="false" customHeight="true" outlineLevel="0" collapsed="false">
      <c r="B106" s="16" t="s">
        <v>96</v>
      </c>
      <c r="C106" s="31" t="n">
        <f aca="false">MIN(C104+C105,0.5)</f>
        <v>0.0590962211562015</v>
      </c>
      <c r="D106" s="5"/>
      <c r="E106" s="5"/>
    </row>
    <row r="107" customFormat="false" ht="15" hidden="false" customHeight="true" outlineLevel="0" collapsed="false">
      <c r="B107" s="16" t="s">
        <v>97</v>
      </c>
      <c r="C107" s="21" t="n">
        <f aca="false">IF(OR(C106&lt;=0,C106&gt;=1),0,-C106*LOG(C106,2)-(1-C106)*LOG(1-C106,2))</f>
        <v>0.323846758403516</v>
      </c>
      <c r="D107" s="5"/>
      <c r="E107" s="5"/>
    </row>
    <row r="108" customFormat="false" ht="15" hidden="false" customHeight="true" outlineLevel="0" collapsed="false">
      <c r="B108" s="16" t="s">
        <v>98</v>
      </c>
      <c r="C108" s="21" t="n">
        <f aca="false">1-C107</f>
        <v>0.676153241596484</v>
      </c>
      <c r="D108" s="5"/>
      <c r="E108" s="5"/>
    </row>
    <row r="109" customFormat="false" ht="15" hidden="false" customHeight="true" outlineLevel="0" collapsed="false">
      <c r="B109" s="5"/>
      <c r="C109" s="5"/>
      <c r="D109" s="5"/>
      <c r="E109" s="5"/>
    </row>
    <row r="110" customFormat="false" ht="18" hidden="false" customHeight="true" outlineLevel="0" collapsed="false">
      <c r="B110" s="4" t="s">
        <v>99</v>
      </c>
      <c r="C110" s="4"/>
      <c r="D110" s="4"/>
      <c r="E110" s="4"/>
    </row>
    <row r="111" customFormat="false" ht="15" hidden="false" customHeight="true" outlineLevel="0" collapsed="false">
      <c r="B111" s="16" t="s">
        <v>100</v>
      </c>
      <c r="C111" s="15" t="n">
        <f aca="false">C16*(-C58*LOG(C58,2)-(1-C58)*LOG(1-C58,2))*C13</f>
        <v>963099.486600312</v>
      </c>
      <c r="D111" s="5"/>
      <c r="E111" s="5"/>
    </row>
    <row r="112" customFormat="false" ht="15" hidden="false" customHeight="true" outlineLevel="0" collapsed="false">
      <c r="B112" s="16" t="s">
        <v>101</v>
      </c>
      <c r="C112" s="32" t="n">
        <f aca="false">6*LOG(C17/C14,2)+LOG(2/C15,2)</f>
        <v>256.566943083901</v>
      </c>
      <c r="D112" s="5"/>
      <c r="E112" s="5"/>
    </row>
    <row r="113" customFormat="false" ht="15" hidden="false" customHeight="true" outlineLevel="0" collapsed="false">
      <c r="B113" s="16" t="s">
        <v>102</v>
      </c>
      <c r="C113" s="18" t="n">
        <f aca="false">C73</f>
        <v>0</v>
      </c>
      <c r="D113" s="5"/>
      <c r="E113" s="5"/>
    </row>
    <row r="114" customFormat="false" ht="15" hidden="false" customHeight="true" outlineLevel="0" collapsed="false">
      <c r="B114" s="16" t="s">
        <v>103</v>
      </c>
      <c r="C114" s="25" t="n">
        <f aca="false">MAX(C113+C80*C108-C111-C112,0)</f>
        <v>3052914.59305417</v>
      </c>
      <c r="D114" s="5"/>
      <c r="E114" s="5"/>
    </row>
    <row r="115" customFormat="false" ht="15" hidden="false" customHeight="true" outlineLevel="0" collapsed="false">
      <c r="B115" s="16" t="s">
        <v>104</v>
      </c>
      <c r="C115" s="33" t="n">
        <f aca="false">1/(1+C21*1000000*C35*C22*0.000001)</f>
        <v>0.589692931524265</v>
      </c>
      <c r="D115" s="5"/>
      <c r="E115" s="5"/>
    </row>
    <row r="116" customFormat="false" ht="15" hidden="false" customHeight="true" outlineLevel="0" collapsed="false">
      <c r="B116" s="16" t="s">
        <v>105</v>
      </c>
      <c r="C116" s="15" t="n">
        <f aca="false">C13/(C115*C12^2*C35)</f>
        <v>24071101788.6367</v>
      </c>
      <c r="D116" s="5"/>
      <c r="E116" s="5"/>
    </row>
    <row r="117" customFormat="false" ht="15" hidden="false" customHeight="true" outlineLevel="0" collapsed="false">
      <c r="B117" s="16" t="s">
        <v>106</v>
      </c>
      <c r="C117" s="34" t="n">
        <f aca="false">IF(C116&gt;0,C114*C21*1000000/C116,0)</f>
        <v>10146.3227395611</v>
      </c>
      <c r="D117" s="5"/>
      <c r="E117" s="5"/>
    </row>
  </sheetData>
  <mergeCells count="14">
    <mergeCell ref="B1:E1"/>
    <mergeCell ref="B2:E2"/>
    <mergeCell ref="B31:E31"/>
    <mergeCell ref="B37:E37"/>
    <mergeCell ref="B46:E46"/>
    <mergeCell ref="B60:E60"/>
    <mergeCell ref="B66:E66"/>
    <mergeCell ref="B70:E70"/>
    <mergeCell ref="B75:E75"/>
    <mergeCell ref="B82:E82"/>
    <mergeCell ref="B89:E89"/>
    <mergeCell ref="B98:E98"/>
    <mergeCell ref="B103:E103"/>
    <mergeCell ref="B110:E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6"/>
    <col collapsed="false" customWidth="true" hidden="false" outlineLevel="0" max="9" min="3" style="1" width="14"/>
    <col collapsed="false" customWidth="true" hidden="false" outlineLevel="0" max="10" min="10" style="1" width="1"/>
  </cols>
  <sheetData>
    <row r="1" customFormat="false" ht="25.5" hidden="false" customHeight="true" outlineLevel="0" collapsed="false">
      <c r="B1" s="35" t="s">
        <v>107</v>
      </c>
      <c r="C1" s="35"/>
      <c r="D1" s="35"/>
      <c r="E1" s="35"/>
      <c r="F1" s="35"/>
      <c r="G1" s="35"/>
      <c r="H1" s="35"/>
      <c r="I1" s="35"/>
    </row>
    <row r="2" customFormat="false" ht="15" hidden="false" customHeight="true" outlineLevel="0" collapsed="false">
      <c r="B2" s="36" t="s">
        <v>108</v>
      </c>
      <c r="C2" s="36"/>
      <c r="D2" s="36"/>
      <c r="E2" s="36"/>
      <c r="F2" s="36"/>
      <c r="G2" s="36"/>
      <c r="H2" s="36"/>
      <c r="I2" s="36"/>
    </row>
    <row r="4" customFormat="false" ht="15" hidden="false" customHeight="true" outlineLevel="0" collapsed="false">
      <c r="B4" s="37" t="s">
        <v>109</v>
      </c>
      <c r="C4" s="37" t="s">
        <v>110</v>
      </c>
      <c r="D4" s="37" t="s">
        <v>111</v>
      </c>
      <c r="E4" s="37" t="s">
        <v>112</v>
      </c>
      <c r="F4" s="37" t="s">
        <v>113</v>
      </c>
      <c r="G4" s="37" t="s">
        <v>114</v>
      </c>
      <c r="H4" s="37" t="s">
        <v>115</v>
      </c>
    </row>
    <row r="5" customFormat="false" ht="15.75" hidden="false" customHeight="true" outlineLevel="0" collapsed="false">
      <c r="B5" s="38" t="s">
        <v>116</v>
      </c>
      <c r="C5" s="39" t="n">
        <v>25160</v>
      </c>
      <c r="D5" s="39" t="n">
        <v>14251</v>
      </c>
      <c r="E5" s="39" t="n">
        <v>5393</v>
      </c>
      <c r="F5" s="40" t="n">
        <v>0</v>
      </c>
      <c r="G5" s="40" t="n">
        <v>0</v>
      </c>
      <c r="H5" s="40" t="n">
        <v>0</v>
      </c>
    </row>
    <row r="6" customFormat="false" ht="15.75" hidden="false" customHeight="true" outlineLevel="0" collapsed="false">
      <c r="B6" s="38" t="s">
        <v>117</v>
      </c>
      <c r="C6" s="39" t="n">
        <v>22218</v>
      </c>
      <c r="D6" s="39" t="n">
        <v>12295</v>
      </c>
      <c r="E6" s="39" t="n">
        <v>4242</v>
      </c>
      <c r="F6" s="40" t="n">
        <v>0</v>
      </c>
      <c r="G6" s="40" t="n">
        <v>0</v>
      </c>
      <c r="H6" s="40" t="n">
        <v>0</v>
      </c>
    </row>
    <row r="7" customFormat="false" ht="15.75" hidden="false" customHeight="true" outlineLevel="0" collapsed="false">
      <c r="B7" s="38" t="s">
        <v>118</v>
      </c>
      <c r="C7" s="39" t="n">
        <v>17230</v>
      </c>
      <c r="D7" s="39" t="n">
        <v>9450</v>
      </c>
      <c r="E7" s="39" t="n">
        <v>3133</v>
      </c>
      <c r="F7" s="40" t="n">
        <v>0</v>
      </c>
      <c r="G7" s="40" t="n">
        <v>0</v>
      </c>
      <c r="H7" s="40" t="n">
        <v>0</v>
      </c>
    </row>
    <row r="8" customFormat="false" ht="15.75" hidden="false" customHeight="true" outlineLevel="0" collapsed="false">
      <c r="B8" s="38" t="s">
        <v>119</v>
      </c>
      <c r="C8" s="39" t="n">
        <v>10146</v>
      </c>
      <c r="D8" s="39" t="n">
        <v>5528</v>
      </c>
      <c r="E8" s="39" t="n">
        <v>1771</v>
      </c>
      <c r="F8" s="40" t="n">
        <v>0</v>
      </c>
      <c r="G8" s="40" t="n">
        <v>0</v>
      </c>
      <c r="H8" s="40" t="n">
        <v>0</v>
      </c>
    </row>
    <row r="9" customFormat="false" ht="15.75" hidden="false" customHeight="true" outlineLevel="0" collapsed="false">
      <c r="B9" s="38" t="s">
        <v>120</v>
      </c>
      <c r="C9" s="39" t="n">
        <v>4315</v>
      </c>
      <c r="D9" s="39" t="n">
        <v>2317</v>
      </c>
      <c r="E9" s="41" t="n">
        <v>682</v>
      </c>
      <c r="F9" s="40" t="n">
        <v>0</v>
      </c>
      <c r="G9" s="40" t="n">
        <v>0</v>
      </c>
      <c r="H9" s="40" t="n">
        <v>0</v>
      </c>
    </row>
    <row r="10" customFormat="false" ht="15.75" hidden="false" customHeight="true" outlineLevel="0" collapsed="false">
      <c r="B10" s="38" t="s">
        <v>121</v>
      </c>
      <c r="C10" s="39" t="n">
        <v>1414</v>
      </c>
      <c r="D10" s="41" t="n">
        <v>725</v>
      </c>
      <c r="E10" s="41" t="n">
        <v>152</v>
      </c>
      <c r="F10" s="40" t="n">
        <v>0</v>
      </c>
      <c r="G10" s="40" t="n">
        <v>0</v>
      </c>
      <c r="H10" s="40" t="n">
        <v>0</v>
      </c>
    </row>
    <row r="11" customFormat="false" ht="15.75" hidden="false" customHeight="true" outlineLevel="0" collapsed="false">
      <c r="B11" s="38" t="s">
        <v>122</v>
      </c>
      <c r="C11" s="41" t="n">
        <v>346</v>
      </c>
      <c r="D11" s="41" t="n">
        <v>143</v>
      </c>
      <c r="E11" s="40" t="n">
        <v>0</v>
      </c>
      <c r="F11" s="40" t="n">
        <v>0</v>
      </c>
      <c r="G11" s="40" t="n">
        <v>0</v>
      </c>
      <c r="H11" s="40" t="n">
        <v>0</v>
      </c>
    </row>
    <row r="14" customFormat="false" ht="18" hidden="false" customHeight="true" outlineLevel="0" collapsed="false">
      <c r="B14" s="42" t="s">
        <v>123</v>
      </c>
      <c r="C14" s="42"/>
      <c r="D14" s="42"/>
      <c r="E14" s="42"/>
      <c r="F14" s="42"/>
      <c r="G14" s="42"/>
      <c r="H14" s="42"/>
      <c r="I14" s="42"/>
    </row>
    <row r="15" customFormat="false" ht="15" hidden="false" customHeight="false" outlineLevel="0" collapsed="false">
      <c r="B15" s="36" t="s">
        <v>124</v>
      </c>
      <c r="C15" s="36"/>
      <c r="D15" s="36"/>
      <c r="E15" s="36"/>
      <c r="F15" s="36"/>
      <c r="G15" s="36"/>
      <c r="H15" s="36"/>
      <c r="I15" s="36"/>
    </row>
    <row r="17" customFormat="false" ht="15" hidden="false" customHeight="false" outlineLevel="0" collapsed="false">
      <c r="B17" s="43" t="s">
        <v>125</v>
      </c>
      <c r="C17" s="43" t="s">
        <v>126</v>
      </c>
      <c r="D17" s="44"/>
      <c r="E17" s="44"/>
    </row>
    <row r="18" customFormat="false" ht="15" hidden="false" customHeight="false" outlineLevel="0" collapsed="false">
      <c r="B18" s="45" t="s">
        <v>127</v>
      </c>
      <c r="C18" s="46" t="n">
        <v>0.15</v>
      </c>
    </row>
    <row r="19" customFormat="false" ht="15" hidden="false" customHeight="false" outlineLevel="0" collapsed="false">
      <c r="B19" s="45" t="s">
        <v>128</v>
      </c>
      <c r="C19" s="46" t="n">
        <v>0.2</v>
      </c>
    </row>
    <row r="20" customFormat="false" ht="15" hidden="false" customHeight="false" outlineLevel="0" collapsed="false">
      <c r="B20" s="45" t="s">
        <v>129</v>
      </c>
      <c r="C20" s="47" t="n">
        <f aca="false">-10*LOG(C18,10)</f>
        <v>8.23908740944319</v>
      </c>
    </row>
    <row r="22" customFormat="false" ht="15" hidden="false" customHeight="false" outlineLevel="0" collapsed="false">
      <c r="B22" s="43" t="s">
        <v>130</v>
      </c>
      <c r="C22" s="43" t="s">
        <v>131</v>
      </c>
      <c r="D22" s="43" t="s">
        <v>132</v>
      </c>
      <c r="E22" s="43"/>
    </row>
    <row r="23" customFormat="false" ht="15.75" hidden="false" customHeight="true" outlineLevel="0" collapsed="false">
      <c r="B23" s="48" t="n">
        <v>10</v>
      </c>
      <c r="C23" s="49" t="n">
        <f aca="false">10-C20</f>
        <v>1.76091259055681</v>
      </c>
      <c r="D23" s="50" t="n">
        <f aca="false">(10-C20)/C19</f>
        <v>8.80456295278407</v>
      </c>
    </row>
    <row r="24" customFormat="false" ht="15.75" hidden="false" customHeight="true" outlineLevel="0" collapsed="false">
      <c r="B24" s="48" t="n">
        <v>15</v>
      </c>
      <c r="C24" s="49" t="n">
        <f aca="false">15-C20</f>
        <v>6.76091259055681</v>
      </c>
      <c r="D24" s="50" t="n">
        <f aca="false">(15-C20)/C19</f>
        <v>33.8045629527841</v>
      </c>
    </row>
    <row r="25" customFormat="false" ht="15.75" hidden="false" customHeight="true" outlineLevel="0" collapsed="false">
      <c r="B25" s="48" t="n">
        <v>20</v>
      </c>
      <c r="C25" s="49" t="n">
        <f aca="false">20-C20</f>
        <v>11.7609125905568</v>
      </c>
      <c r="D25" s="50" t="n">
        <f aca="false">(20-C20)/C19</f>
        <v>58.8045629527841</v>
      </c>
    </row>
    <row r="26" customFormat="false" ht="15.75" hidden="false" customHeight="true" outlineLevel="0" collapsed="false">
      <c r="B26" s="48" t="n">
        <v>25</v>
      </c>
      <c r="C26" s="49" t="n">
        <f aca="false">25-C20</f>
        <v>16.7609125905568</v>
      </c>
      <c r="D26" s="50" t="n">
        <f aca="false">(25-C20)/C19</f>
        <v>83.8045629527841</v>
      </c>
      <c r="E26" s="51" t="s">
        <v>133</v>
      </c>
    </row>
    <row r="27" customFormat="false" ht="15.75" hidden="false" customHeight="true" outlineLevel="0" collapsed="false">
      <c r="B27" s="48" t="n">
        <v>30</v>
      </c>
      <c r="C27" s="49" t="n">
        <f aca="false">30-C20</f>
        <v>21.7609125905568</v>
      </c>
      <c r="D27" s="50" t="n">
        <f aca="false">(30-C20)/C19</f>
        <v>108.804562952784</v>
      </c>
    </row>
    <row r="28" customFormat="false" ht="15.75" hidden="false" customHeight="true" outlineLevel="0" collapsed="false">
      <c r="B28" s="48" t="n">
        <v>35</v>
      </c>
      <c r="C28" s="49" t="n">
        <f aca="false">35-C20</f>
        <v>26.7609125905568</v>
      </c>
      <c r="D28" s="50" t="n">
        <f aca="false">(35-C20)/C19</f>
        <v>133.804562952784</v>
      </c>
    </row>
    <row r="29" customFormat="false" ht="15.75" hidden="false" customHeight="true" outlineLevel="0" collapsed="false">
      <c r="B29" s="48" t="n">
        <v>40</v>
      </c>
      <c r="C29" s="49" t="n">
        <f aca="false">40-C20</f>
        <v>31.7609125905568</v>
      </c>
      <c r="D29" s="50" t="n">
        <f aca="false">(40-C20)/C19</f>
        <v>158.804562952784</v>
      </c>
    </row>
    <row r="30" customFormat="false" ht="15.75" hidden="false" customHeight="true" outlineLevel="0" collapsed="false">
      <c r="B30" s="48" t="n">
        <v>45</v>
      </c>
      <c r="C30" s="49" t="n">
        <f aca="false">45-C20</f>
        <v>36.7609125905568</v>
      </c>
      <c r="D30" s="50" t="n">
        <f aca="false">(45-C20)/C19</f>
        <v>183.804562952784</v>
      </c>
      <c r="E30" s="52" t="s">
        <v>134</v>
      </c>
    </row>
    <row r="31" customFormat="false" ht="15.75" hidden="false" customHeight="true" outlineLevel="0" collapsed="false">
      <c r="B31" s="48" t="n">
        <v>47</v>
      </c>
      <c r="C31" s="49" t="n">
        <f aca="false">47-C20</f>
        <v>38.7609125905568</v>
      </c>
      <c r="D31" s="53" t="n">
        <f aca="false">(47-C20)/C19</f>
        <v>193.804562952784</v>
      </c>
      <c r="E31" s="54" t="s">
        <v>135</v>
      </c>
    </row>
    <row r="32" customFormat="false" ht="15.75" hidden="false" customHeight="true" outlineLevel="0" collapsed="false">
      <c r="B32" s="48" t="n">
        <v>50</v>
      </c>
      <c r="C32" s="49" t="n">
        <f aca="false">50-C20</f>
        <v>41.7609125905568</v>
      </c>
      <c r="D32" s="50" t="n">
        <f aca="false">(50-C20)/C19</f>
        <v>208.804562952784</v>
      </c>
    </row>
    <row r="34" customFormat="false" ht="15" hidden="false" customHeight="false" outlineLevel="0" collapsed="false">
      <c r="B34" s="55" t="s">
        <v>136</v>
      </c>
    </row>
    <row r="35" customFormat="false" ht="15" hidden="false" customHeight="false" outlineLevel="0" collapsed="false">
      <c r="B35" s="56" t="s">
        <v>137</v>
      </c>
    </row>
    <row r="36" customFormat="false" ht="15" hidden="false" customHeight="false" outlineLevel="0" collapsed="false">
      <c r="B36" s="57" t="s">
        <v>138</v>
      </c>
    </row>
  </sheetData>
  <mergeCells count="5">
    <mergeCell ref="B1:I1"/>
    <mergeCell ref="B2:I2"/>
    <mergeCell ref="B14:I14"/>
    <mergeCell ref="B15:I15"/>
    <mergeCell ref="D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2026-03-19T14:57:02Z</dcterms:created>
  <dc:creator>openpyxl</dc:creator>
  <dc:description/>
  <dc:language>en-US</dc:language>
  <cp:lastModifiedBy/>
  <dcterms:modified xsi:type="dcterms:W3CDTF">2026-03-19T15:16:25Z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